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s\VSU\ProjectManagment\phase-01\expert-inputs\"/>
    </mc:Choice>
  </mc:AlternateContent>
  <xr:revisionPtr revIDLastSave="0" documentId="13_ncr:1_{A5E87B54-A016-4CA2-B0A4-82D0EA36F6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Инструкция" sheetId="1" r:id="rId1"/>
    <sheet name="TOPSIS_оценки" sheetId="2" r:id="rId2"/>
    <sheet name="МАИ_сравнени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3" l="1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E46" i="3" s="1"/>
  <c r="F46" i="3" s="1"/>
  <c r="F11" i="3"/>
  <c r="F10" i="3"/>
  <c r="F9" i="3"/>
  <c r="F8" i="3"/>
  <c r="F7" i="3"/>
  <c r="F6" i="3"/>
  <c r="F5" i="3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31" i="2" s="1"/>
  <c r="F31" i="2" s="1"/>
</calcChain>
</file>

<file path=xl/sharedStrings.xml><?xml version="1.0" encoding="utf-8"?>
<sst xmlns="http://schemas.openxmlformats.org/spreadsheetml/2006/main" count="307" uniqueCount="63">
  <si>
    <t>Индивидуальная анкета · участник 3</t>
  </si>
  <si>
    <t>ДЕМОНСТРАЦИОННЫЕ СУЖДЕНИЯ из исходной книги. Перед использованием замените или лично подтвердите значения.</t>
  </si>
  <si>
    <t>ФИО участника</t>
  </si>
  <si>
    <t>[впишите ФИО]</t>
  </si>
  <si>
    <t>Дата оценивания</t>
  </si>
  <si>
    <t>[впишите дату]</t>
  </si>
  <si>
    <t>Версия документов</t>
  </si>
  <si>
    <t>Фаза 1 · 4 концепции · 12 UC каждая · K1–K5</t>
  </si>
  <si>
    <t>Статус анкеты</t>
  </si>
  <si>
    <t>ДЕМО / НЕ ПОДТВЕРЖДЕНО</t>
  </si>
  <si>
    <t>Порядок работы</t>
  </si>
  <si>
    <t>1. Изучите паспорта A1–A4 и criteria.docx.</t>
  </si>
  <si>
    <t>2. Независимо заполните 25 баллов TOPSIS на листе TOPSIS_оценки, столбец E.</t>
  </si>
  <si>
    <t>3. Независимо заполните 40 суждений МАИ на листе МАИ_сравнения, столбец E.</t>
  </si>
  <si>
    <t>4. Укажите ФИО, дату и сохраните файл; сообщите координатору.</t>
  </si>
  <si>
    <t>Шкала TOPSIS</t>
  </si>
  <si>
    <t>Целые баллы 1–9 (все критерии — на максимизацию).</t>
  </si>
  <si>
    <t>Шкала МАИ</t>
  </si>
  <si>
    <t>1,2,3,…,9 или обратные 1/2,…,1/9; для 1/3 вводите формулу =1/3.</t>
  </si>
  <si>
    <t>Перенос в общую книгу</t>
  </si>
  <si>
    <t>TOPSIS_оценки!E5:E29 → «Оценки»!G5:G29</t>
  </si>
  <si>
    <t>МАИ_сравнения!E5:E44 → «МАИ суждения»!G5:G44</t>
  </si>
  <si>
    <t>Копируйте только значения; не заменяйте столбцы H:J / H с формулами.</t>
  </si>
  <si>
    <t>Важно</t>
  </si>
  <si>
    <t>Это ручная передача, автоматической связи с тремя внешними файлами нет.</t>
  </si>
  <si>
    <t>Контроль</t>
  </si>
  <si>
    <t>«ЗАПОЛНЕНО» означает проверку формата и числа ответов, НЕ факт участия эксперта.</t>
  </si>
  <si>
    <t>TOPSIS · 25 балльных оценок · эксперт 3</t>
  </si>
  <si>
    <t>Синий столбец E — демонстрационные значения. Поменяйте на собственные баллы 1–9 и проверьте отметки справа.</t>
  </si>
  <si>
    <t>Тип</t>
  </si>
  <si>
    <t>Альтернатива</t>
  </si>
  <si>
    <t>Код критерия</t>
  </si>
  <si>
    <t>Критерий</t>
  </si>
  <si>
    <t>ВАША ОЦЕНКА</t>
  </si>
  <si>
    <t>Проверка</t>
  </si>
  <si>
    <t>Пояснение (необязательно)</t>
  </si>
  <si>
    <t>Важность</t>
  </si>
  <si>
    <t>—</t>
  </si>
  <si>
    <t>K1</t>
  </si>
  <si>
    <t>Ценность для студентов</t>
  </si>
  <si>
    <t>K2</t>
  </si>
  <si>
    <t>Реализуемость MVP</t>
  </si>
  <si>
    <t>K3</t>
  </si>
  <si>
    <t>Проверяемость и демо</t>
  </si>
  <si>
    <t>K4</t>
  </si>
  <si>
    <t>Доступность тестовых данных</t>
  </si>
  <si>
    <t>K5</t>
  </si>
  <si>
    <t>Потенциал развития</t>
  </si>
  <si>
    <t>A1</t>
  </si>
  <si>
    <t>A2</t>
  </si>
  <si>
    <t>A3</t>
  </si>
  <si>
    <t>A4</t>
  </si>
  <si>
    <t>Корректных строк / 25:</t>
  </si>
  <si>
    <t>МАИ · 40 попарных сравнений · эксперт 3</t>
  </si>
  <si>
    <t>В столбце E укажите, во сколько раз ЛЕВЫЙ элемент предпочтительнее ПРАВОГО. =1/3 означает, что правый предпочтительнее.</t>
  </si>
  <si>
    <t>Матрица</t>
  </si>
  <si>
    <t>Основание</t>
  </si>
  <si>
    <t>Слева</t>
  </si>
  <si>
    <t>Справа</t>
  </si>
  <si>
    <t>ВАШЕ СУЖДЕНИЕ</t>
  </si>
  <si>
    <t>Критерии</t>
  </si>
  <si>
    <t>Важность критериев</t>
  </si>
  <si>
    <t>Корректных строк / 40: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</si>
</sst>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name val="Carlito"/>
    </font>
    <font>
      <b/>
      <sz val="15"/>
      <color rgb="FFFFFFFF"/>
      <name val="Carlito"/>
    </font>
    <font>
      <sz val="10"/>
      <color rgb="FF824400"/>
      <name val="Carlito"/>
    </font>
    <font>
      <b/>
      <sz val="11"/>
      <name val="Carlito"/>
    </font>
    <font>
      <b/>
      <sz val="10"/>
      <color rgb="FFFFFFFF"/>
      <name val="Carlito"/>
    </font>
    <font>
      <b/>
      <sz val="11"/>
      <color rgb="FF1D4ED8"/>
      <name val="Carlito"/>
    </font>
    <font>
      <sz val="11"/>
      <color rgb="FF196E5D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5304B"/>
      </patternFill>
    </fill>
    <fill>
      <patternFill patternType="solid">
        <fgColor rgb="FFFFEDD5"/>
      </patternFill>
    </fill>
    <fill>
      <patternFill patternType="solid">
        <fgColor rgb="FFE5F1FE"/>
      </patternFill>
    </fill>
    <fill>
      <patternFill patternType="solid">
        <fgColor rgb="FFFFF3D6"/>
      </patternFill>
    </fill>
    <fill>
      <patternFill patternType="solid">
        <fgColor rgb="FFF7F9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2">
    <xf numFmtId="0" fontId="0" fillId="0" borderId="0" xfId="0"/>
    <xf numFmtId="0" fontId="3" fillId="0" borderId="0" xfId="1" applyFont="1"/>
    <xf numFmtId="0" fontId="0" fillId="0" borderId="0" xfId="1" applyFont="1" applyAlignment="1">
      <alignment wrapText="1"/>
    </xf>
    <xf numFmtId="0" fontId="0" fillId="4" borderId="0" xfId="1" applyFont="1" applyFill="1" applyAlignment="1">
      <alignment wrapText="1"/>
    </xf>
    <xf numFmtId="0" fontId="4" fillId="2" borderId="0" xfId="1" applyFont="1" applyFill="1" applyAlignment="1">
      <alignment vertical="center" wrapText="1"/>
    </xf>
    <xf numFmtId="1" fontId="5" fillId="4" borderId="0" xfId="1" applyNumberFormat="1" applyFont="1" applyFill="1" applyAlignment="1">
      <alignment horizontal="center"/>
    </xf>
    <xf numFmtId="0" fontId="6" fillId="0" borderId="0" xfId="1" applyFont="1" applyAlignment="1">
      <alignment horizontal="center"/>
    </xf>
    <xf numFmtId="0" fontId="0" fillId="6" borderId="0" xfId="1" applyFont="1" applyFill="1"/>
    <xf numFmtId="164" fontId="5" fillId="4" borderId="0" xfId="1" applyNumberFormat="1" applyFont="1" applyFill="1" applyAlignment="1">
      <alignment horizontal="center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2" fillId="5" borderId="0" xfId="1" applyFont="1" applyFill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3" topLeftCell="A16" activePane="bottomLeft" state="frozen"/>
      <selection pane="bottomLeft" sqref="A1:G1"/>
    </sheetView>
  </sheetViews>
  <sheetFormatPr defaultRowHeight="13.8"/>
  <cols>
    <col min="1" max="1" width="26" customWidth="1"/>
    <col min="2" max="2" width="39.5" customWidth="1"/>
    <col min="3" max="3" width="15" customWidth="1"/>
    <col min="4" max="5" width="18" customWidth="1"/>
    <col min="6" max="6" width="13" customWidth="1"/>
    <col min="7" max="7" width="18" customWidth="1"/>
  </cols>
  <sheetData>
    <row r="1" spans="1:7" ht="33" customHeight="1">
      <c r="A1" s="9" t="s">
        <v>0</v>
      </c>
      <c r="B1" s="9"/>
      <c r="C1" s="9"/>
      <c r="D1" s="9"/>
      <c r="E1" s="9"/>
      <c r="F1" s="9"/>
      <c r="G1" s="9"/>
    </row>
    <row r="3" spans="1:7" ht="36" customHeight="1">
      <c r="A3" s="10" t="s">
        <v>1</v>
      </c>
      <c r="B3" s="10"/>
      <c r="C3" s="10"/>
      <c r="D3" s="10"/>
      <c r="E3" s="10"/>
      <c r="F3" s="10"/>
      <c r="G3" s="10"/>
    </row>
    <row r="5" spans="1:7" ht="43.8" customHeight="1">
      <c r="A5" s="1" t="s">
        <v>2</v>
      </c>
      <c r="B5" s="3" t="s">
        <v>3</v>
      </c>
      <c r="C5" s="2"/>
      <c r="D5" s="2"/>
      <c r="E5" s="2"/>
      <c r="F5" s="2"/>
      <c r="G5" s="2"/>
    </row>
    <row r="6" spans="1:7" ht="53.4" customHeight="1">
      <c r="A6" s="1" t="s">
        <v>4</v>
      </c>
      <c r="B6" s="3" t="s">
        <v>5</v>
      </c>
      <c r="C6" s="2"/>
      <c r="D6" s="2"/>
      <c r="E6" s="2"/>
      <c r="F6" s="2"/>
      <c r="G6" s="2"/>
    </row>
    <row r="7" spans="1:7" ht="63.6" customHeight="1">
      <c r="A7" s="1" t="s">
        <v>6</v>
      </c>
      <c r="B7" s="3" t="s">
        <v>7</v>
      </c>
      <c r="C7" s="2"/>
      <c r="D7" s="2"/>
      <c r="E7" s="2"/>
      <c r="F7" s="2"/>
      <c r="G7" s="2"/>
    </row>
    <row r="8" spans="1:7" ht="24" customHeight="1">
      <c r="A8" s="1" t="s">
        <v>8</v>
      </c>
      <c r="B8" s="3" t="s">
        <v>9</v>
      </c>
      <c r="C8" s="2"/>
      <c r="D8" s="2"/>
      <c r="E8" s="2"/>
      <c r="F8" s="2"/>
      <c r="G8" s="2"/>
    </row>
    <row r="9" spans="1:7" ht="24" customHeight="1">
      <c r="A9" s="1"/>
      <c r="B9" s="2"/>
      <c r="C9" s="2"/>
      <c r="D9" s="2"/>
      <c r="E9" s="2"/>
      <c r="F9" s="2"/>
      <c r="G9" s="2"/>
    </row>
    <row r="10" spans="1:7" ht="68.400000000000006" customHeight="1">
      <c r="A10" s="1" t="s">
        <v>10</v>
      </c>
      <c r="B10" s="2" t="s">
        <v>11</v>
      </c>
      <c r="C10" s="2"/>
      <c r="D10" s="2"/>
      <c r="E10" s="2"/>
      <c r="F10" s="2"/>
      <c r="G10" s="2"/>
    </row>
    <row r="11" spans="1:7" ht="68.400000000000006" customHeight="1">
      <c r="A11" s="1"/>
      <c r="B11" s="2" t="s">
        <v>12</v>
      </c>
      <c r="C11" s="2"/>
      <c r="D11" s="2"/>
      <c r="E11" s="2"/>
      <c r="F11" s="2"/>
      <c r="G11" s="2"/>
    </row>
    <row r="12" spans="1:7" ht="63" customHeight="1">
      <c r="A12" s="1"/>
      <c r="B12" s="2" t="s">
        <v>13</v>
      </c>
      <c r="C12" s="2"/>
      <c r="D12" s="2"/>
      <c r="E12" s="2"/>
      <c r="F12" s="2"/>
      <c r="G12" s="2"/>
    </row>
    <row r="13" spans="1:7" ht="59.4" customHeight="1">
      <c r="A13" s="1"/>
      <c r="B13" s="2" t="s">
        <v>14</v>
      </c>
      <c r="C13" s="2"/>
      <c r="D13" s="2"/>
      <c r="E13" s="2"/>
      <c r="F13" s="2"/>
      <c r="G13" s="2"/>
    </row>
    <row r="14" spans="1:7" ht="24" customHeight="1">
      <c r="A14" s="1"/>
      <c r="B14" s="2"/>
      <c r="C14" s="2"/>
      <c r="D14" s="2"/>
      <c r="E14" s="2"/>
      <c r="F14" s="2"/>
      <c r="G14" s="2"/>
    </row>
    <row r="15" spans="1:7" ht="64.2" customHeight="1">
      <c r="A15" s="1" t="s">
        <v>15</v>
      </c>
      <c r="B15" s="2" t="s">
        <v>16</v>
      </c>
      <c r="C15" s="2"/>
      <c r="D15" s="2"/>
      <c r="E15" s="2"/>
      <c r="F15" s="2"/>
      <c r="G15" s="2"/>
    </row>
    <row r="16" spans="1:7" ht="60" customHeight="1">
      <c r="A16" s="1" t="s">
        <v>17</v>
      </c>
      <c r="B16" s="2" t="s">
        <v>18</v>
      </c>
      <c r="C16" s="2"/>
      <c r="D16" s="2"/>
      <c r="E16" s="2"/>
      <c r="F16" s="2"/>
      <c r="G16" s="2"/>
    </row>
    <row r="17" spans="1:7" ht="24" customHeight="1">
      <c r="A17" s="1"/>
      <c r="B17" s="2"/>
      <c r="C17" s="2"/>
      <c r="D17" s="2"/>
      <c r="E17" s="2"/>
      <c r="F17" s="2"/>
      <c r="G17" s="2"/>
    </row>
    <row r="18" spans="1:7" ht="38.4" customHeight="1">
      <c r="A18" s="1" t="s">
        <v>19</v>
      </c>
      <c r="B18" s="2" t="s">
        <v>20</v>
      </c>
      <c r="C18" s="2"/>
      <c r="D18" s="2"/>
      <c r="E18" s="2"/>
      <c r="F18" s="2"/>
      <c r="G18" s="2"/>
    </row>
    <row r="19" spans="1:7" ht="67.8" customHeight="1">
      <c r="A19" s="1"/>
      <c r="B19" s="2" t="s">
        <v>21</v>
      </c>
      <c r="C19" s="2"/>
      <c r="D19" s="2"/>
      <c r="E19" s="2"/>
      <c r="F19" s="2"/>
      <c r="G19" s="2"/>
    </row>
    <row r="20" spans="1:7" ht="70.8" customHeight="1">
      <c r="A20" s="1"/>
      <c r="B20" s="2" t="s">
        <v>22</v>
      </c>
      <c r="C20" s="2"/>
      <c r="D20" s="2"/>
      <c r="E20" s="2"/>
      <c r="F20" s="2"/>
      <c r="G20" s="2"/>
    </row>
    <row r="21" spans="1:7" ht="57" customHeight="1">
      <c r="A21" s="1" t="s">
        <v>23</v>
      </c>
      <c r="B21" s="2" t="s">
        <v>24</v>
      </c>
      <c r="C21" s="2"/>
      <c r="D21" s="2"/>
      <c r="E21" s="2"/>
      <c r="F21" s="2"/>
      <c r="G21" s="2"/>
    </row>
    <row r="22" spans="1:7" ht="77.400000000000006" customHeight="1">
      <c r="A22" s="1" t="s">
        <v>25</v>
      </c>
      <c r="B22" s="2" t="s">
        <v>26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pane ySplit="4" topLeftCell="A5" activePane="bottomLeft" state="frozen"/>
      <selection pane="bottomLeft"/>
    </sheetView>
  </sheetViews>
  <sheetFormatPr defaultRowHeight="13.8"/>
  <cols>
    <col min="1" max="1" width="17" customWidth="1"/>
    <col min="2" max="2" width="15" customWidth="1"/>
    <col min="3" max="3" width="17" customWidth="1"/>
    <col min="4" max="4" width="34" customWidth="1"/>
    <col min="5" max="5" width="16" customWidth="1"/>
    <col min="6" max="6" width="15" customWidth="1"/>
    <col min="7" max="7" width="33" customWidth="1"/>
  </cols>
  <sheetData>
    <row r="1" spans="1:7" ht="33" customHeight="1">
      <c r="A1" s="9" t="s">
        <v>27</v>
      </c>
      <c r="B1" s="9"/>
      <c r="C1" s="9"/>
      <c r="D1" s="9"/>
      <c r="E1" s="9"/>
      <c r="F1" s="9"/>
      <c r="G1" s="9"/>
    </row>
    <row r="3" spans="1:7" ht="36" customHeight="1">
      <c r="A3" s="11" t="s">
        <v>28</v>
      </c>
      <c r="B3" s="11"/>
      <c r="C3" s="11"/>
      <c r="D3" s="11"/>
      <c r="E3" s="11"/>
      <c r="F3" s="11"/>
      <c r="G3" s="11"/>
    </row>
    <row r="4" spans="1:7" ht="31.95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</row>
    <row r="5" spans="1:7" ht="22.95" customHeight="1">
      <c r="A5" t="s">
        <v>36</v>
      </c>
      <c r="B5" t="s">
        <v>37</v>
      </c>
      <c r="C5" t="s">
        <v>38</v>
      </c>
      <c r="D5" s="2" t="s">
        <v>39</v>
      </c>
      <c r="E5" s="5">
        <v>9</v>
      </c>
      <c r="F5" s="6" t="str">
        <f t="shared" ref="F5:F29" si="0">IF(E5="","ПУСТО",IF(AND(ISNUMBER(E5),E5&gt;=1,E5&lt;=9,MOD(E5,1)=0),"OK","ОШИБКА"))</f>
        <v>OK</v>
      </c>
      <c r="G5" s="7"/>
    </row>
    <row r="6" spans="1:7" ht="22.95" customHeight="1">
      <c r="A6" t="s">
        <v>36</v>
      </c>
      <c r="B6" t="s">
        <v>37</v>
      </c>
      <c r="C6" t="s">
        <v>40</v>
      </c>
      <c r="D6" s="2" t="s">
        <v>41</v>
      </c>
      <c r="E6" s="5">
        <v>8</v>
      </c>
      <c r="F6" s="6" t="str">
        <f t="shared" si="0"/>
        <v>OK</v>
      </c>
      <c r="G6" s="7"/>
    </row>
    <row r="7" spans="1:7" ht="22.95" customHeight="1">
      <c r="A7" t="s">
        <v>36</v>
      </c>
      <c r="B7" t="s">
        <v>37</v>
      </c>
      <c r="C7" t="s">
        <v>42</v>
      </c>
      <c r="D7" s="2" t="s">
        <v>43</v>
      </c>
      <c r="E7" s="5">
        <v>8</v>
      </c>
      <c r="F7" s="6" t="str">
        <f t="shared" si="0"/>
        <v>OK</v>
      </c>
      <c r="G7" s="7"/>
    </row>
    <row r="8" spans="1:7" ht="22.95" customHeight="1">
      <c r="A8" t="s">
        <v>36</v>
      </c>
      <c r="B8" t="s">
        <v>37</v>
      </c>
      <c r="C8" t="s">
        <v>44</v>
      </c>
      <c r="D8" s="2" t="s">
        <v>45</v>
      </c>
      <c r="E8" s="5">
        <v>7</v>
      </c>
      <c r="F8" s="6" t="str">
        <f t="shared" si="0"/>
        <v>OK</v>
      </c>
      <c r="G8" s="7"/>
    </row>
    <row r="9" spans="1:7" ht="22.95" customHeight="1">
      <c r="A9" t="s">
        <v>36</v>
      </c>
      <c r="B9" t="s">
        <v>37</v>
      </c>
      <c r="C9" t="s">
        <v>46</v>
      </c>
      <c r="D9" s="2" t="s">
        <v>47</v>
      </c>
      <c r="E9" s="5">
        <v>6</v>
      </c>
      <c r="F9" s="6" t="str">
        <f t="shared" si="0"/>
        <v>OK</v>
      </c>
      <c r="G9" s="7"/>
    </row>
    <row r="10" spans="1:7" ht="22.95" customHeight="1">
      <c r="A10" t="s">
        <v>30</v>
      </c>
      <c r="B10" t="s">
        <v>48</v>
      </c>
      <c r="C10" t="s">
        <v>38</v>
      </c>
      <c r="D10" s="2" t="s">
        <v>39</v>
      </c>
      <c r="E10" s="5">
        <v>7</v>
      </c>
      <c r="F10" s="6" t="str">
        <f t="shared" si="0"/>
        <v>OK</v>
      </c>
      <c r="G10" s="7"/>
    </row>
    <row r="11" spans="1:7" ht="22.95" customHeight="1">
      <c r="A11" t="s">
        <v>30</v>
      </c>
      <c r="B11" t="s">
        <v>48</v>
      </c>
      <c r="C11" t="s">
        <v>40</v>
      </c>
      <c r="D11" s="2" t="s">
        <v>41</v>
      </c>
      <c r="E11" s="5">
        <v>9</v>
      </c>
      <c r="F11" s="6" t="str">
        <f t="shared" si="0"/>
        <v>OK</v>
      </c>
      <c r="G11" s="7"/>
    </row>
    <row r="12" spans="1:7" ht="22.95" customHeight="1">
      <c r="A12" t="s">
        <v>30</v>
      </c>
      <c r="B12" t="s">
        <v>48</v>
      </c>
      <c r="C12" t="s">
        <v>42</v>
      </c>
      <c r="D12" s="2" t="s">
        <v>43</v>
      </c>
      <c r="E12" s="5">
        <v>8</v>
      </c>
      <c r="F12" s="6" t="str">
        <f t="shared" si="0"/>
        <v>OK</v>
      </c>
      <c r="G12" s="7"/>
    </row>
    <row r="13" spans="1:7" ht="22.95" customHeight="1">
      <c r="A13" t="s">
        <v>30</v>
      </c>
      <c r="B13" t="s">
        <v>48</v>
      </c>
      <c r="C13" t="s">
        <v>44</v>
      </c>
      <c r="D13" s="2" t="s">
        <v>45</v>
      </c>
      <c r="E13" s="5">
        <v>8</v>
      </c>
      <c r="F13" s="6" t="str">
        <f t="shared" si="0"/>
        <v>OK</v>
      </c>
      <c r="G13" s="7"/>
    </row>
    <row r="14" spans="1:7" ht="22.95" customHeight="1">
      <c r="A14" t="s">
        <v>30</v>
      </c>
      <c r="B14" t="s">
        <v>48</v>
      </c>
      <c r="C14" t="s">
        <v>46</v>
      </c>
      <c r="D14" s="2" t="s">
        <v>47</v>
      </c>
      <c r="E14" s="5">
        <v>5</v>
      </c>
      <c r="F14" s="6" t="str">
        <f t="shared" si="0"/>
        <v>OK</v>
      </c>
      <c r="G14" s="7"/>
    </row>
    <row r="15" spans="1:7" ht="22.95" customHeight="1">
      <c r="A15" t="s">
        <v>30</v>
      </c>
      <c r="B15" t="s">
        <v>49</v>
      </c>
      <c r="C15" t="s">
        <v>38</v>
      </c>
      <c r="D15" s="2" t="s">
        <v>39</v>
      </c>
      <c r="E15" s="5">
        <v>8</v>
      </c>
      <c r="F15" s="6" t="str">
        <f t="shared" si="0"/>
        <v>OK</v>
      </c>
      <c r="G15" s="7"/>
    </row>
    <row r="16" spans="1:7" ht="22.95" customHeight="1">
      <c r="A16" t="s">
        <v>30</v>
      </c>
      <c r="B16" t="s">
        <v>49</v>
      </c>
      <c r="C16" t="s">
        <v>40</v>
      </c>
      <c r="D16" s="2" t="s">
        <v>41</v>
      </c>
      <c r="E16" s="5">
        <v>8</v>
      </c>
      <c r="F16" s="6" t="str">
        <f t="shared" si="0"/>
        <v>OK</v>
      </c>
      <c r="G16" s="7"/>
    </row>
    <row r="17" spans="1:7" ht="22.95" customHeight="1">
      <c r="A17" t="s">
        <v>30</v>
      </c>
      <c r="B17" t="s">
        <v>49</v>
      </c>
      <c r="C17" t="s">
        <v>42</v>
      </c>
      <c r="D17" s="2" t="s">
        <v>43</v>
      </c>
      <c r="E17" s="5">
        <v>9</v>
      </c>
      <c r="F17" s="6" t="str">
        <f t="shared" si="0"/>
        <v>OK</v>
      </c>
      <c r="G17" s="7"/>
    </row>
    <row r="18" spans="1:7" ht="22.95" customHeight="1">
      <c r="A18" t="s">
        <v>30</v>
      </c>
      <c r="B18" t="s">
        <v>49</v>
      </c>
      <c r="C18" t="s">
        <v>44</v>
      </c>
      <c r="D18" s="2" t="s">
        <v>45</v>
      </c>
      <c r="E18" s="5">
        <v>9</v>
      </c>
      <c r="F18" s="6" t="str">
        <f t="shared" si="0"/>
        <v>OK</v>
      </c>
      <c r="G18" s="7"/>
    </row>
    <row r="19" spans="1:7" ht="22.95" customHeight="1">
      <c r="A19" t="s">
        <v>30</v>
      </c>
      <c r="B19" t="s">
        <v>49</v>
      </c>
      <c r="C19" t="s">
        <v>46</v>
      </c>
      <c r="D19" s="2" t="s">
        <v>47</v>
      </c>
      <c r="E19" s="5">
        <v>8</v>
      </c>
      <c r="F19" s="6" t="str">
        <f t="shared" si="0"/>
        <v>OK</v>
      </c>
      <c r="G19" s="7"/>
    </row>
    <row r="20" spans="1:7" ht="22.95" customHeight="1">
      <c r="A20" t="s">
        <v>30</v>
      </c>
      <c r="B20" t="s">
        <v>50</v>
      </c>
      <c r="C20" t="s">
        <v>38</v>
      </c>
      <c r="D20" s="2" t="s">
        <v>39</v>
      </c>
      <c r="E20" s="5">
        <v>7</v>
      </c>
      <c r="F20" s="6" t="str">
        <f t="shared" si="0"/>
        <v>OK</v>
      </c>
      <c r="G20" s="7"/>
    </row>
    <row r="21" spans="1:7" ht="22.95" customHeight="1">
      <c r="A21" t="s">
        <v>30</v>
      </c>
      <c r="B21" t="s">
        <v>50</v>
      </c>
      <c r="C21" t="s">
        <v>40</v>
      </c>
      <c r="D21" s="2" t="s">
        <v>41</v>
      </c>
      <c r="E21" s="5">
        <v>8</v>
      </c>
      <c r="F21" s="6" t="str">
        <f t="shared" si="0"/>
        <v>OK</v>
      </c>
      <c r="G21" s="7"/>
    </row>
    <row r="22" spans="1:7" ht="22.95" customHeight="1">
      <c r="A22" t="s">
        <v>30</v>
      </c>
      <c r="B22" t="s">
        <v>50</v>
      </c>
      <c r="C22" t="s">
        <v>42</v>
      </c>
      <c r="D22" s="2" t="s">
        <v>43</v>
      </c>
      <c r="E22" s="5">
        <v>7</v>
      </c>
      <c r="F22" s="6" t="str">
        <f t="shared" si="0"/>
        <v>OK</v>
      </c>
      <c r="G22" s="7"/>
    </row>
    <row r="23" spans="1:7" ht="22.95" customHeight="1">
      <c r="A23" t="s">
        <v>30</v>
      </c>
      <c r="B23" t="s">
        <v>50</v>
      </c>
      <c r="C23" t="s">
        <v>44</v>
      </c>
      <c r="D23" s="2" t="s">
        <v>45</v>
      </c>
      <c r="E23" s="5">
        <v>8</v>
      </c>
      <c r="F23" s="6" t="str">
        <f t="shared" si="0"/>
        <v>OK</v>
      </c>
      <c r="G23" s="7"/>
    </row>
    <row r="24" spans="1:7" ht="22.95" customHeight="1">
      <c r="A24" t="s">
        <v>30</v>
      </c>
      <c r="B24" t="s">
        <v>50</v>
      </c>
      <c r="C24" t="s">
        <v>46</v>
      </c>
      <c r="D24" s="2" t="s">
        <v>47</v>
      </c>
      <c r="E24" s="5">
        <v>7</v>
      </c>
      <c r="F24" s="6" t="str">
        <f t="shared" si="0"/>
        <v>OK</v>
      </c>
      <c r="G24" s="7"/>
    </row>
    <row r="25" spans="1:7" ht="22.95" customHeight="1">
      <c r="A25" t="s">
        <v>30</v>
      </c>
      <c r="B25" t="s">
        <v>51</v>
      </c>
      <c r="C25" t="s">
        <v>38</v>
      </c>
      <c r="D25" s="2" t="s">
        <v>39</v>
      </c>
      <c r="E25" s="5">
        <v>8</v>
      </c>
      <c r="F25" s="6" t="str">
        <f t="shared" si="0"/>
        <v>OK</v>
      </c>
      <c r="G25" s="7"/>
    </row>
    <row r="26" spans="1:7" ht="22.95" customHeight="1">
      <c r="A26" t="s">
        <v>30</v>
      </c>
      <c r="B26" t="s">
        <v>51</v>
      </c>
      <c r="C26" t="s">
        <v>40</v>
      </c>
      <c r="D26" s="2" t="s">
        <v>41</v>
      </c>
      <c r="E26" s="5">
        <v>6</v>
      </c>
      <c r="F26" s="6" t="str">
        <f t="shared" si="0"/>
        <v>OK</v>
      </c>
      <c r="G26" s="7"/>
    </row>
    <row r="27" spans="1:7" ht="22.95" customHeight="1">
      <c r="A27" t="s">
        <v>30</v>
      </c>
      <c r="B27" t="s">
        <v>51</v>
      </c>
      <c r="C27" t="s">
        <v>42</v>
      </c>
      <c r="D27" s="2" t="s">
        <v>43</v>
      </c>
      <c r="E27" s="5">
        <v>7</v>
      </c>
      <c r="F27" s="6" t="str">
        <f t="shared" si="0"/>
        <v>OK</v>
      </c>
      <c r="G27" s="7"/>
    </row>
    <row r="28" spans="1:7" ht="22.95" customHeight="1">
      <c r="A28" t="s">
        <v>30</v>
      </c>
      <c r="B28" t="s">
        <v>51</v>
      </c>
      <c r="C28" t="s">
        <v>44</v>
      </c>
      <c r="D28" s="2" t="s">
        <v>45</v>
      </c>
      <c r="E28" s="5">
        <v>7</v>
      </c>
      <c r="F28" s="6" t="str">
        <f t="shared" si="0"/>
        <v>OK</v>
      </c>
      <c r="G28" s="7"/>
    </row>
    <row r="29" spans="1:7" ht="22.95" customHeight="1">
      <c r="A29" t="s">
        <v>30</v>
      </c>
      <c r="B29" t="s">
        <v>51</v>
      </c>
      <c r="C29" t="s">
        <v>46</v>
      </c>
      <c r="D29" s="2" t="s">
        <v>47</v>
      </c>
      <c r="E29" s="5">
        <v>9</v>
      </c>
      <c r="F29" s="6" t="str">
        <f t="shared" si="0"/>
        <v>OK</v>
      </c>
      <c r="G29" s="7"/>
    </row>
    <row r="31" spans="1:7">
      <c r="D31" t="s">
        <v>52</v>
      </c>
      <c r="E31">
        <f>COUNTIF(F5:F29,"OK")</f>
        <v>25</v>
      </c>
      <c r="F31" t="str">
        <f>IF(E31=25,"ЗАПОЛНЕНО","ПРОВЕРИТЬ")</f>
        <v>ЗАПОЛНЕНО</v>
      </c>
    </row>
  </sheetData>
  <mergeCells count="2">
    <mergeCell ref="A1:G1"/>
    <mergeCell ref="A3:G3"/>
  </mergeCells>
  <dataValidations count="1">
    <dataValidation type="list" sqref="E5:E29" xr:uid="{00000000-0002-0000-0100-000000000000}">
      <formula1>"1,2,3,4,5,6,7,8,9"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workbookViewId="0">
      <pane ySplit="4" topLeftCell="A5" activePane="bottomLeft" state="frozen"/>
      <selection pane="bottomLeft"/>
    </sheetView>
  </sheetViews>
  <sheetFormatPr defaultRowHeight="13.8"/>
  <cols>
    <col min="1" max="1" width="19" customWidth="1"/>
    <col min="2" max="2" width="32" customWidth="1"/>
    <col min="3" max="4" width="14" customWidth="1"/>
    <col min="5" max="5" width="20" customWidth="1"/>
    <col min="6" max="6" width="14" customWidth="1"/>
    <col min="7" max="7" width="30" customWidth="1"/>
  </cols>
  <sheetData>
    <row r="1" spans="1:7" ht="33" customHeight="1">
      <c r="A1" s="9" t="s">
        <v>53</v>
      </c>
      <c r="B1" s="9"/>
      <c r="C1" s="9"/>
      <c r="D1" s="9"/>
      <c r="E1" s="9"/>
      <c r="F1" s="9"/>
      <c r="G1" s="9"/>
    </row>
    <row r="3" spans="1:7" ht="36" customHeight="1">
      <c r="A3" s="11" t="s">
        <v>54</v>
      </c>
      <c r="B3" s="11"/>
      <c r="C3" s="11"/>
      <c r="D3" s="11"/>
      <c r="E3" s="11"/>
      <c r="F3" s="11"/>
      <c r="G3" s="11"/>
    </row>
    <row r="4" spans="1:7" ht="31.95" customHeight="1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34</v>
      </c>
      <c r="G4" s="4" t="s">
        <v>35</v>
      </c>
    </row>
    <row r="5" spans="1:7" ht="22.05" customHeight="1">
      <c r="A5" t="s">
        <v>60</v>
      </c>
      <c r="B5" t="s">
        <v>61</v>
      </c>
      <c r="C5" t="s">
        <v>38</v>
      </c>
      <c r="D5" t="s">
        <v>40</v>
      </c>
      <c r="E5" s="8">
        <v>1</v>
      </c>
      <c r="F5" s="6" t="str">
        <f t="shared" ref="F5:F44" si="0">IF(E5="","ПУСТО",IF(E5&lt;=0,"ОШИБКА",IF(OR(AND(E5&gt;=1,E5&lt;=9,MOD(E5,1)=0),AND(E5&gt;=1/9,E5&lt;1,ABS(1/E5-ROUND(1/E5,0))&lt;0.000001)),"OK","ОШИБКА")))</f>
        <v>OK</v>
      </c>
      <c r="G5" s="7"/>
    </row>
    <row r="6" spans="1:7" ht="22.05" customHeight="1">
      <c r="A6" t="s">
        <v>60</v>
      </c>
      <c r="B6" t="s">
        <v>61</v>
      </c>
      <c r="C6" t="s">
        <v>38</v>
      </c>
      <c r="D6" t="s">
        <v>42</v>
      </c>
      <c r="E6" s="8">
        <v>2</v>
      </c>
      <c r="F6" s="6" t="str">
        <f t="shared" si="0"/>
        <v>OK</v>
      </c>
      <c r="G6" s="7"/>
    </row>
    <row r="7" spans="1:7" ht="22.05" customHeight="1">
      <c r="A7" t="s">
        <v>60</v>
      </c>
      <c r="B7" t="s">
        <v>61</v>
      </c>
      <c r="C7" t="s">
        <v>38</v>
      </c>
      <c r="D7" t="s">
        <v>44</v>
      </c>
      <c r="E7" s="8">
        <v>4</v>
      </c>
      <c r="F7" s="6" t="str">
        <f t="shared" si="0"/>
        <v>OK</v>
      </c>
      <c r="G7" s="7"/>
    </row>
    <row r="8" spans="1:7" ht="22.05" customHeight="1">
      <c r="A8" t="s">
        <v>60</v>
      </c>
      <c r="B8" t="s">
        <v>61</v>
      </c>
      <c r="C8" t="s">
        <v>38</v>
      </c>
      <c r="D8" t="s">
        <v>46</v>
      </c>
      <c r="E8" s="8">
        <v>3</v>
      </c>
      <c r="F8" s="6" t="str">
        <f t="shared" si="0"/>
        <v>OK</v>
      </c>
      <c r="G8" s="7"/>
    </row>
    <row r="9" spans="1:7" ht="22.05" customHeight="1">
      <c r="A9" t="s">
        <v>60</v>
      </c>
      <c r="B9" t="s">
        <v>61</v>
      </c>
      <c r="C9" t="s">
        <v>40</v>
      </c>
      <c r="D9" t="s">
        <v>42</v>
      </c>
      <c r="E9" s="8">
        <v>2</v>
      </c>
      <c r="F9" s="6" t="str">
        <f t="shared" si="0"/>
        <v>OK</v>
      </c>
      <c r="G9" s="7"/>
    </row>
    <row r="10" spans="1:7" ht="22.05" customHeight="1">
      <c r="A10" t="s">
        <v>60</v>
      </c>
      <c r="B10" t="s">
        <v>61</v>
      </c>
      <c r="C10" t="s">
        <v>40</v>
      </c>
      <c r="D10" t="s">
        <v>44</v>
      </c>
      <c r="E10" s="8">
        <v>3</v>
      </c>
      <c r="F10" s="6" t="str">
        <f t="shared" si="0"/>
        <v>OK</v>
      </c>
      <c r="G10" s="7"/>
    </row>
    <row r="11" spans="1:7" ht="22.05" customHeight="1">
      <c r="A11" t="s">
        <v>60</v>
      </c>
      <c r="B11" t="s">
        <v>61</v>
      </c>
      <c r="C11" t="s">
        <v>40</v>
      </c>
      <c r="D11" t="s">
        <v>46</v>
      </c>
      <c r="E11" s="8">
        <v>3</v>
      </c>
      <c r="F11" s="6" t="str">
        <f t="shared" si="0"/>
        <v>OK</v>
      </c>
      <c r="G11" s="7"/>
    </row>
    <row r="12" spans="1:7" ht="22.05" customHeight="1">
      <c r="A12" t="s">
        <v>60</v>
      </c>
      <c r="B12" t="s">
        <v>61</v>
      </c>
      <c r="C12" t="s">
        <v>42</v>
      </c>
      <c r="D12" t="s">
        <v>44</v>
      </c>
      <c r="E12" s="8">
        <v>2</v>
      </c>
      <c r="F12" s="6" t="str">
        <f t="shared" si="0"/>
        <v>OK</v>
      </c>
      <c r="G12" s="7"/>
    </row>
    <row r="13" spans="1:7" ht="22.05" customHeight="1">
      <c r="A13" t="s">
        <v>60</v>
      </c>
      <c r="B13" t="s">
        <v>61</v>
      </c>
      <c r="C13" t="s">
        <v>42</v>
      </c>
      <c r="D13" t="s">
        <v>46</v>
      </c>
      <c r="E13" s="8">
        <v>3</v>
      </c>
      <c r="F13" s="6" t="str">
        <f t="shared" si="0"/>
        <v>OK</v>
      </c>
      <c r="G13" s="7"/>
    </row>
    <row r="14" spans="1:7" ht="22.05" customHeight="1">
      <c r="A14" t="s">
        <v>60</v>
      </c>
      <c r="B14" t="s">
        <v>61</v>
      </c>
      <c r="C14" t="s">
        <v>44</v>
      </c>
      <c r="D14" t="s">
        <v>46</v>
      </c>
      <c r="E14" s="8">
        <v>2</v>
      </c>
      <c r="F14" s="6" t="str">
        <f t="shared" si="0"/>
        <v>OK</v>
      </c>
      <c r="G14" s="7"/>
    </row>
    <row r="15" spans="1:7" ht="22.05" customHeight="1">
      <c r="A15" t="s">
        <v>38</v>
      </c>
      <c r="B15" t="s">
        <v>39</v>
      </c>
      <c r="C15" t="s">
        <v>48</v>
      </c>
      <c r="D15" t="s">
        <v>49</v>
      </c>
      <c r="E15" s="8">
        <v>0.5</v>
      </c>
      <c r="F15" s="6" t="str">
        <f t="shared" si="0"/>
        <v>OK</v>
      </c>
      <c r="G15" s="7"/>
    </row>
    <row r="16" spans="1:7" ht="22.05" customHeight="1">
      <c r="A16" t="s">
        <v>38</v>
      </c>
      <c r="B16" t="s">
        <v>39</v>
      </c>
      <c r="C16" t="s">
        <v>48</v>
      </c>
      <c r="D16" t="s">
        <v>50</v>
      </c>
      <c r="E16" s="8">
        <v>2</v>
      </c>
      <c r="F16" s="6" t="str">
        <f t="shared" si="0"/>
        <v>OK</v>
      </c>
      <c r="G16" s="7"/>
    </row>
    <row r="17" spans="1:7" ht="22.05" customHeight="1">
      <c r="A17" t="s">
        <v>38</v>
      </c>
      <c r="B17" t="s">
        <v>39</v>
      </c>
      <c r="C17" t="s">
        <v>48</v>
      </c>
      <c r="D17" t="s">
        <v>51</v>
      </c>
      <c r="E17" s="8">
        <v>0.5</v>
      </c>
      <c r="F17" s="6" t="str">
        <f t="shared" si="0"/>
        <v>OK</v>
      </c>
      <c r="G17" s="7"/>
    </row>
    <row r="18" spans="1:7" ht="22.05" customHeight="1">
      <c r="A18" t="s">
        <v>38</v>
      </c>
      <c r="B18" t="s">
        <v>39</v>
      </c>
      <c r="C18" t="s">
        <v>49</v>
      </c>
      <c r="D18" t="s">
        <v>50</v>
      </c>
      <c r="E18" s="8">
        <v>4</v>
      </c>
      <c r="F18" s="6" t="str">
        <f t="shared" si="0"/>
        <v>OK</v>
      </c>
      <c r="G18" s="7"/>
    </row>
    <row r="19" spans="1:7" ht="22.05" customHeight="1">
      <c r="A19" t="s">
        <v>38</v>
      </c>
      <c r="B19" t="s">
        <v>39</v>
      </c>
      <c r="C19" t="s">
        <v>49</v>
      </c>
      <c r="D19" t="s">
        <v>51</v>
      </c>
      <c r="E19" s="8">
        <v>2</v>
      </c>
      <c r="F19" s="6" t="str">
        <f t="shared" si="0"/>
        <v>OK</v>
      </c>
      <c r="G19" s="7"/>
    </row>
    <row r="20" spans="1:7" ht="22.05" customHeight="1">
      <c r="A20" t="s">
        <v>38</v>
      </c>
      <c r="B20" t="s">
        <v>39</v>
      </c>
      <c r="C20" t="s">
        <v>50</v>
      </c>
      <c r="D20" t="s">
        <v>51</v>
      </c>
      <c r="E20" s="8">
        <v>0.5</v>
      </c>
      <c r="F20" s="6" t="str">
        <f t="shared" si="0"/>
        <v>OK</v>
      </c>
      <c r="G20" s="7"/>
    </row>
    <row r="21" spans="1:7" ht="22.05" customHeight="1">
      <c r="A21" t="s">
        <v>40</v>
      </c>
      <c r="B21" t="s">
        <v>41</v>
      </c>
      <c r="C21" t="s">
        <v>48</v>
      </c>
      <c r="D21" t="s">
        <v>49</v>
      </c>
      <c r="E21" s="8">
        <v>2</v>
      </c>
      <c r="F21" s="6" t="str">
        <f t="shared" si="0"/>
        <v>OK</v>
      </c>
      <c r="G21" s="7"/>
    </row>
    <row r="22" spans="1:7" ht="22.05" customHeight="1">
      <c r="A22" t="s">
        <v>40</v>
      </c>
      <c r="B22" t="s">
        <v>41</v>
      </c>
      <c r="C22" t="s">
        <v>48</v>
      </c>
      <c r="D22" t="s">
        <v>50</v>
      </c>
      <c r="E22" s="8">
        <v>1</v>
      </c>
      <c r="F22" s="6" t="str">
        <f t="shared" si="0"/>
        <v>OK</v>
      </c>
      <c r="G22" s="7"/>
    </row>
    <row r="23" spans="1:7" ht="22.05" customHeight="1">
      <c r="A23" t="s">
        <v>40</v>
      </c>
      <c r="B23" t="s">
        <v>41</v>
      </c>
      <c r="C23" t="s">
        <v>48</v>
      </c>
      <c r="D23" t="s">
        <v>51</v>
      </c>
      <c r="E23" s="8">
        <v>3</v>
      </c>
      <c r="F23" s="6" t="str">
        <f t="shared" si="0"/>
        <v>OK</v>
      </c>
      <c r="G23" s="7"/>
    </row>
    <row r="24" spans="1:7" ht="22.05" customHeight="1">
      <c r="A24" t="s">
        <v>40</v>
      </c>
      <c r="B24" t="s">
        <v>41</v>
      </c>
      <c r="C24" t="s">
        <v>49</v>
      </c>
      <c r="D24" t="s">
        <v>50</v>
      </c>
      <c r="E24" s="8">
        <v>0.5</v>
      </c>
      <c r="F24" s="6" t="str">
        <f t="shared" si="0"/>
        <v>OK</v>
      </c>
      <c r="G24" s="7"/>
    </row>
    <row r="25" spans="1:7" ht="22.05" customHeight="1">
      <c r="A25" t="s">
        <v>40</v>
      </c>
      <c r="B25" t="s">
        <v>41</v>
      </c>
      <c r="C25" t="s">
        <v>49</v>
      </c>
      <c r="D25" t="s">
        <v>51</v>
      </c>
      <c r="E25" s="8">
        <v>2</v>
      </c>
      <c r="F25" s="6" t="str">
        <f t="shared" si="0"/>
        <v>OK</v>
      </c>
      <c r="G25" s="7"/>
    </row>
    <row r="26" spans="1:7" ht="22.05" customHeight="1">
      <c r="A26" t="s">
        <v>40</v>
      </c>
      <c r="B26" t="s">
        <v>41</v>
      </c>
      <c r="C26" t="s">
        <v>50</v>
      </c>
      <c r="D26" t="s">
        <v>51</v>
      </c>
      <c r="E26" s="8">
        <v>4</v>
      </c>
      <c r="F26" s="6" t="str">
        <f t="shared" si="0"/>
        <v>OK</v>
      </c>
      <c r="G26" s="7"/>
    </row>
    <row r="27" spans="1:7" ht="22.05" customHeight="1">
      <c r="A27" t="s">
        <v>42</v>
      </c>
      <c r="B27" t="s">
        <v>43</v>
      </c>
      <c r="C27" t="s">
        <v>48</v>
      </c>
      <c r="D27" t="s">
        <v>49</v>
      </c>
      <c r="E27" s="8">
        <v>1</v>
      </c>
      <c r="F27" s="6" t="str">
        <f t="shared" si="0"/>
        <v>OK</v>
      </c>
      <c r="G27" s="7"/>
    </row>
    <row r="28" spans="1:7" ht="22.05" customHeight="1">
      <c r="A28" t="s">
        <v>42</v>
      </c>
      <c r="B28" t="s">
        <v>43</v>
      </c>
      <c r="C28" t="s">
        <v>48</v>
      </c>
      <c r="D28" t="s">
        <v>50</v>
      </c>
      <c r="E28" s="8">
        <v>2</v>
      </c>
      <c r="F28" s="6" t="str">
        <f t="shared" si="0"/>
        <v>OK</v>
      </c>
      <c r="G28" s="7"/>
    </row>
    <row r="29" spans="1:7" ht="22.05" customHeight="1">
      <c r="A29" t="s">
        <v>42</v>
      </c>
      <c r="B29" t="s">
        <v>43</v>
      </c>
      <c r="C29" t="s">
        <v>48</v>
      </c>
      <c r="D29" t="s">
        <v>51</v>
      </c>
      <c r="E29" s="8">
        <v>4</v>
      </c>
      <c r="F29" s="6" t="str">
        <f t="shared" si="0"/>
        <v>OK</v>
      </c>
      <c r="G29" s="7"/>
    </row>
    <row r="30" spans="1:7" ht="22.05" customHeight="1">
      <c r="A30" t="s">
        <v>42</v>
      </c>
      <c r="B30" t="s">
        <v>43</v>
      </c>
      <c r="C30" t="s">
        <v>49</v>
      </c>
      <c r="D30" t="s">
        <v>50</v>
      </c>
      <c r="E30" s="8">
        <v>3</v>
      </c>
      <c r="F30" s="6" t="str">
        <f t="shared" si="0"/>
        <v>OK</v>
      </c>
      <c r="G30" s="7"/>
    </row>
    <row r="31" spans="1:7" ht="22.05" customHeight="1">
      <c r="A31" t="s">
        <v>42</v>
      </c>
      <c r="B31" t="s">
        <v>43</v>
      </c>
      <c r="C31" t="s">
        <v>49</v>
      </c>
      <c r="D31" t="s">
        <v>51</v>
      </c>
      <c r="E31" s="8">
        <v>4</v>
      </c>
      <c r="F31" s="6" t="str">
        <f t="shared" si="0"/>
        <v>OK</v>
      </c>
      <c r="G31" s="7"/>
    </row>
    <row r="32" spans="1:7" ht="22.05" customHeight="1">
      <c r="A32" t="s">
        <v>42</v>
      </c>
      <c r="B32" t="s">
        <v>43</v>
      </c>
      <c r="C32" t="s">
        <v>50</v>
      </c>
      <c r="D32" t="s">
        <v>51</v>
      </c>
      <c r="E32" s="8">
        <v>2</v>
      </c>
      <c r="F32" s="6" t="str">
        <f t="shared" si="0"/>
        <v>OK</v>
      </c>
      <c r="G32" s="7"/>
    </row>
    <row r="33" spans="1:7" ht="22.05" customHeight="1">
      <c r="A33" t="s">
        <v>44</v>
      </c>
      <c r="B33" t="s">
        <v>45</v>
      </c>
      <c r="C33" t="s">
        <v>48</v>
      </c>
      <c r="D33" t="s">
        <v>49</v>
      </c>
      <c r="E33" s="8">
        <v>1</v>
      </c>
      <c r="F33" s="6" t="str">
        <f t="shared" si="0"/>
        <v>OK</v>
      </c>
      <c r="G33" s="7"/>
    </row>
    <row r="34" spans="1:7" ht="22.05" customHeight="1">
      <c r="A34" t="s">
        <v>44</v>
      </c>
      <c r="B34" t="s">
        <v>45</v>
      </c>
      <c r="C34" t="s">
        <v>48</v>
      </c>
      <c r="D34" t="s">
        <v>50</v>
      </c>
      <c r="E34" s="8">
        <v>2</v>
      </c>
      <c r="F34" s="6" t="str">
        <f t="shared" si="0"/>
        <v>OK</v>
      </c>
      <c r="G34" s="7"/>
    </row>
    <row r="35" spans="1:7" ht="22.05" customHeight="1">
      <c r="A35" t="s">
        <v>44</v>
      </c>
      <c r="B35" t="s">
        <v>45</v>
      </c>
      <c r="C35" t="s">
        <v>48</v>
      </c>
      <c r="D35" t="s">
        <v>51</v>
      </c>
      <c r="E35" s="8">
        <v>4</v>
      </c>
      <c r="F35" s="6" t="str">
        <f t="shared" si="0"/>
        <v>OK</v>
      </c>
      <c r="G35" s="7"/>
    </row>
    <row r="36" spans="1:7" ht="22.05" customHeight="1">
      <c r="A36" t="s">
        <v>44</v>
      </c>
      <c r="B36" t="s">
        <v>45</v>
      </c>
      <c r="C36" t="s">
        <v>49</v>
      </c>
      <c r="D36" t="s">
        <v>50</v>
      </c>
      <c r="E36" s="8">
        <v>2</v>
      </c>
      <c r="F36" s="6" t="str">
        <f t="shared" si="0"/>
        <v>OK</v>
      </c>
      <c r="G36" s="7"/>
    </row>
    <row r="37" spans="1:7" ht="22.05" customHeight="1">
      <c r="A37" t="s">
        <v>44</v>
      </c>
      <c r="B37" t="s">
        <v>45</v>
      </c>
      <c r="C37" t="s">
        <v>49</v>
      </c>
      <c r="D37" t="s">
        <v>51</v>
      </c>
      <c r="E37" s="8">
        <v>3</v>
      </c>
      <c r="F37" s="6" t="str">
        <f t="shared" si="0"/>
        <v>OK</v>
      </c>
      <c r="G37" s="7"/>
    </row>
    <row r="38" spans="1:7" ht="22.05" customHeight="1">
      <c r="A38" t="s">
        <v>44</v>
      </c>
      <c r="B38" t="s">
        <v>45</v>
      </c>
      <c r="C38" t="s">
        <v>50</v>
      </c>
      <c r="D38" t="s">
        <v>51</v>
      </c>
      <c r="E38" s="8">
        <v>2</v>
      </c>
      <c r="F38" s="6" t="str">
        <f t="shared" si="0"/>
        <v>OK</v>
      </c>
      <c r="G38" s="7"/>
    </row>
    <row r="39" spans="1:7" ht="22.05" customHeight="1">
      <c r="A39" t="s">
        <v>46</v>
      </c>
      <c r="B39" t="s">
        <v>47</v>
      </c>
      <c r="C39" t="s">
        <v>48</v>
      </c>
      <c r="D39" t="s">
        <v>49</v>
      </c>
      <c r="E39" s="8">
        <v>0.25</v>
      </c>
      <c r="F39" s="6" t="str">
        <f t="shared" si="0"/>
        <v>OK</v>
      </c>
      <c r="G39" s="7"/>
    </row>
    <row r="40" spans="1:7" ht="22.05" customHeight="1">
      <c r="A40" t="s">
        <v>46</v>
      </c>
      <c r="B40" t="s">
        <v>47</v>
      </c>
      <c r="C40" t="s">
        <v>48</v>
      </c>
      <c r="D40" t="s">
        <v>50</v>
      </c>
      <c r="E40" s="8">
        <v>0.5</v>
      </c>
      <c r="F40" s="6" t="str">
        <f t="shared" si="0"/>
        <v>OK</v>
      </c>
      <c r="G40" s="7"/>
    </row>
    <row r="41" spans="1:7" ht="22.05" customHeight="1">
      <c r="A41" t="s">
        <v>46</v>
      </c>
      <c r="B41" t="s">
        <v>47</v>
      </c>
      <c r="C41" t="s">
        <v>48</v>
      </c>
      <c r="D41" t="s">
        <v>51</v>
      </c>
      <c r="E41" s="8">
        <v>0.2</v>
      </c>
      <c r="F41" s="6" t="str">
        <f t="shared" si="0"/>
        <v>OK</v>
      </c>
      <c r="G41" s="7"/>
    </row>
    <row r="42" spans="1:7" ht="22.05" customHeight="1">
      <c r="A42" t="s">
        <v>46</v>
      </c>
      <c r="B42" t="s">
        <v>47</v>
      </c>
      <c r="C42" t="s">
        <v>49</v>
      </c>
      <c r="D42" t="s">
        <v>50</v>
      </c>
      <c r="E42" s="8">
        <v>3</v>
      </c>
      <c r="F42" s="6" t="str">
        <f t="shared" si="0"/>
        <v>OK</v>
      </c>
      <c r="G42" s="7"/>
    </row>
    <row r="43" spans="1:7" ht="22.05" customHeight="1">
      <c r="A43" t="s">
        <v>46</v>
      </c>
      <c r="B43" t="s">
        <v>47</v>
      </c>
      <c r="C43" t="s">
        <v>49</v>
      </c>
      <c r="D43" t="s">
        <v>51</v>
      </c>
      <c r="E43" s="8">
        <v>1</v>
      </c>
      <c r="F43" s="6" t="str">
        <f t="shared" si="0"/>
        <v>OK</v>
      </c>
      <c r="G43" s="7"/>
    </row>
    <row r="44" spans="1:7" ht="22.05" customHeight="1">
      <c r="A44" t="s">
        <v>46</v>
      </c>
      <c r="B44" t="s">
        <v>47</v>
      </c>
      <c r="C44" t="s">
        <v>50</v>
      </c>
      <c r="D44" t="s">
        <v>51</v>
      </c>
      <c r="E44" s="8">
        <v>0.5</v>
      </c>
      <c r="F44" s="6" t="str">
        <f t="shared" si="0"/>
        <v>OK</v>
      </c>
      <c r="G44" s="7"/>
    </row>
    <row r="46" spans="1:7">
      <c r="D46" t="s">
        <v>62</v>
      </c>
      <c r="E46">
        <f>COUNTIF(F5:F44,"OK")</f>
        <v>40</v>
      </c>
      <c r="F46" t="str">
        <f>IF(E46=40,"ЗАПОЛНЕНО","ПРОВЕРИТЬ")</f>
        <v>ЗАПОЛНЕНО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Инструкция</vt:lpstr>
      <vt:lpstr>TOPSIS_оценки</vt:lpstr>
      <vt:lpstr>МАИ_сравнения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Vladislav Khitrov</cp:lastModifiedBy>
  <dcterms:modified xsi:type="dcterms:W3CDTF">2026-10-13T17:54:42Z</dcterms:modified>
</cp:coreProperties>
</file>