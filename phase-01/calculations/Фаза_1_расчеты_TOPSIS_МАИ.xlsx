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a62867561741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Критерии" sheetId="1" r:id="R0ede30a3523c4b70"/>
    <x:sheet xmlns:r="http://schemas.openxmlformats.org/officeDocument/2006/relationships" name="Концепции" sheetId="2" r:id="R06297748bf714533"/>
    <x:sheet xmlns:r="http://schemas.openxmlformats.org/officeDocument/2006/relationships" name="Оценки" sheetId="3" r:id="Raf40b0dee2da49ce"/>
    <x:sheet xmlns:r="http://schemas.openxmlformats.org/officeDocument/2006/relationships" name="TOPSIS" sheetId="4" r:id="Rddb72f0e42424338"/>
    <x:sheet xmlns:r="http://schemas.openxmlformats.org/officeDocument/2006/relationships" name="МАИ суждения" sheetId="5" r:id="R2224ed14c30345a7"/>
    <x:sheet xmlns:r="http://schemas.openxmlformats.org/officeDocument/2006/relationships" name="МАИ матрицы" sheetId="6" r:id="R6a705bbb637647b6"/>
    <x:sheet xmlns:r="http://schemas.openxmlformats.org/officeDocument/2006/relationships" name="МАИ проверки" sheetId="7" r:id="R745e910cee344fc0"/>
    <x:sheet xmlns:r="http://schemas.openxmlformats.org/officeDocument/2006/relationships" name="МАИ итог" sheetId="8" r:id="Rb6af98d5357e41fd"/>
    <x:sheet xmlns:r="http://schemas.openxmlformats.org/officeDocument/2006/relationships" name="Задачи" sheetId="9" r:id="R35a569dac2224656"/>
    <x:sheet xmlns:r="http://schemas.openxmlformats.org/officeDocument/2006/relationships" name="RACI" sheetId="10" r:id="Rae96fa4f26be405a"/>
    <x:sheet xmlns:r="http://schemas.openxmlformats.org/officeDocument/2006/relationships" name="Обзор" sheetId="11" r:id="Ra321099ac04547b0"/>
    <x:sheet xmlns:r="http://schemas.openxmlformats.org/officeDocument/2006/relationships" name="Источники" sheetId="12" r:id="R3b0cade903fc4a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00"/>
    <x:numFmt numFmtId="201" formatCode="0.000"/>
    <x:numFmt numFmtId="202" formatCode="dd.mm.yyyy"/>
    <x:numFmt numFmtId="203" formatCode="0.0"/>
  </x:numFmts>
  <x:fonts count="9">
    <x:font>
      <x:sz val="11"/>
      <x:name val="Carlito"/>
    </x:font>
    <x:font>
      <x:sz val="11"/>
      <x:name val="Aptos"/>
    </x:font>
    <x:font>
      <x:sz val="10"/>
      <x:name val="Aptos"/>
    </x:font>
    <x:font>
      <x:sz val="10"/>
      <x:color rgb="FF24334A"/>
      <x:name val="Aptos"/>
    </x:font>
    <x:font>
      <x:b/>
      <x:sz val="17"/>
      <x:color rgb="FFFFFFFF"/>
      <x:name val="Aptos"/>
    </x:font>
    <x:font>
      <x:b/>
      <x:sz val="10"/>
      <x:color rgb="FFFFFFFF"/>
      <x:name val="Aptos"/>
    </x:font>
    <x:font>
      <x:b/>
      <x:sz val="11"/>
      <x:color rgb="FF007F86"/>
      <x:name val="Aptos"/>
    </x:font>
    <x:font>
      <x:b/>
      <x:sz val="10"/>
      <x:color rgb="FF007F86"/>
      <x:name val="Aptos"/>
    </x:font>
    <x:font>
      <x:b/>
      <x:sz val="10"/>
      <x:color rgb="FF7C4900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007F86"/>
      </x:patternFill>
    </x:fill>
    <x:fill>
      <x:patternFill patternType="solid">
        <x:fgColor rgb="FFE8F5F4"/>
      </x:patternFill>
    </x:fill>
    <x:fill>
      <x:patternFill patternType="solid">
        <x:fgColor rgb="FFE9F2FF"/>
      </x:patternFill>
    </x:fill>
    <x:fill>
      <x:patternFill patternType="solid">
        <x:fgColor rgb="FFF1F5F9"/>
      </x:patternFill>
    </x:fill>
    <x:fill>
      <x:patternFill patternType="solid">
        <x:fgColor rgb="FFFFF3D7"/>
      </x:patternFill>
    </x:fill>
  </x:fills>
  <x:borders count="2">
    <x:border/>
    <x:border/>
  </x:borders>
  <x:cellStyleXfs count="1">
    <x:xf numFmtId="0" fontId="0" fillId="0" borderId="0"/>
  </x:cellStyleXfs>
  <x:cellXfs count="58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/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3" fillId="4" borderId="0" xfId="0" applyNumberFormat="1" applyFont="1" applyFill="1" applyBorder="1"/>
    <x:xf numFmtId="0" fontId="6" fillId="4" borderId="0" xfId="0" applyNumberFormat="1" applyFont="1" applyFill="1" applyBorder="1"/>
    <x:xf numFmtId="0" fontId="3" fillId="4" borderId="1" xfId="0" applyNumberFormat="1" applyFont="1" applyFill="1" applyBorder="1"/>
    <x:xf numFmtId="0" fontId="6" fillId="4" borderId="1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6" borderId="0" xfId="0" applyNumberFormat="1" applyFont="1" applyFill="1" applyBorder="1"/>
    <x:xf numFmtId="0" fontId="3" fillId="6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200" fontId="3" fillId="4" borderId="0" xfId="0" applyNumberFormat="1" applyFont="1" applyFill="1" applyBorder="1"/>
    <x:xf numFmtId="200" fontId="3" fillId="4" borderId="1" xfId="0" applyNumberFormat="1" applyFont="1" applyFill="1" applyBorder="1"/>
    <x:xf numFmtId="200" fontId="3" fillId="6" borderId="0" xfId="0" applyNumberFormat="1" applyFont="1" applyFill="1" applyBorder="1"/>
    <x:xf numFmtId="200" fontId="3" fillId="6" borderId="1" xfId="0" applyNumberFormat="1" applyFont="1" applyFill="1" applyBorder="1"/>
    <x:xf numFmtId="201" fontId="3" fillId="5" borderId="0" xfId="0" applyNumberFormat="1" applyFont="1" applyFill="1" applyBorder="1"/>
    <x:xf numFmtId="201" fontId="3" fillId="6" borderId="0" xfId="0" applyNumberFormat="1" applyFont="1" applyFill="1" applyBorder="1"/>
    <x:xf numFmtId="201" fontId="3" fillId="5" borderId="1" xfId="0" applyNumberFormat="1" applyFont="1" applyFill="1" applyBorder="1"/>
    <x:xf numFmtId="201" fontId="3" fillId="6" borderId="1" xfId="0" applyNumberFormat="1" applyFont="1" applyFill="1" applyBorder="1"/>
    <x:xf numFmtId="202" fontId="3" fillId="0" borderId="0" xfId="0" applyNumberFormat="1" applyFont="1" applyFill="1" applyBorder="1"/>
    <x:xf numFmtId="202" fontId="3" fillId="0" borderId="1" xfId="0" applyNumberFormat="1" applyFont="1" applyFill="1" applyBorder="1"/>
    <x:xf numFmtId="203" fontId="3" fillId="0" borderId="0" xfId="0" applyNumberFormat="1" applyFont="1" applyFill="1" applyBorder="1"/>
    <x:xf numFmtId="203" fontId="3" fillId="0" borderId="1" xfId="0" applyNumberFormat="1" applyFont="1" applyFill="1" applyBorder="1"/>
    <x:xf numFmtId="203" fontId="3" fillId="4" borderId="0" xfId="0" applyNumberFormat="1" applyFont="1" applyFill="1" applyBorder="1"/>
    <x:xf numFmtId="203" fontId="7" fillId="4" borderId="0" xfId="0" applyNumberFormat="1" applyFont="1" applyFill="1" applyBorder="1"/>
    <x:xf numFmtId="203" fontId="3" fillId="4" borderId="1" xfId="0" applyNumberFormat="1" applyFont="1" applyFill="1" applyBorder="1"/>
    <x:xf numFmtId="203" fontId="7" fillId="4" borderId="1" xfId="0" applyNumberFormat="1" applyFont="1" applyFill="1" applyBorder="1"/>
    <x:xf numFmtId="0" fontId="3" fillId="7" borderId="0" xfId="0" applyNumberFormat="1" applyFont="1" applyFill="1" applyBorder="1"/>
    <x:xf numFmtId="0" fontId="3" fillId="7" borderId="1" xfId="0" applyNumberFormat="1" applyFont="1" applyFill="1" applyBorder="1"/>
    <x:xf numFmtId="203" fontId="3" fillId="5" borderId="0" xfId="0" applyNumberFormat="1" applyFont="1" applyFill="1" applyBorder="1"/>
    <x:xf numFmtId="203" fontId="3" fillId="5" borderId="1" xfId="0" applyNumberFormat="1" applyFont="1" applyFill="1" applyBorder="1"/>
    <x:xf numFmtId="0" fontId="8" fillId="7" borderId="0" xfId="0" applyNumberFormat="1" applyFont="1" applyFill="1" applyBorder="1"/>
    <x:xf numFmtId="0" fontId="8" fillId="7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5767f7d3c24dae" /><Relationship Type="http://schemas.openxmlformats.org/officeDocument/2006/relationships/theme" Target="/xl/theme/theme1.xml" Id="R1b51d85b4fec468c" /><Relationship Type="http://schemas.openxmlformats.org/officeDocument/2006/relationships/sharedStrings" Target="/xl/sharedStrings.xml" Id="R443d52b2f2ba4153" /><Relationship Type="http://schemas.openxmlformats.org/officeDocument/2006/relationships/worksheet" Target="/xl/worksheets/sheet1.xml" Id="R0ede30a3523c4b70" /><Relationship Type="http://schemas.openxmlformats.org/officeDocument/2006/relationships/worksheet" Target="/xl/worksheets/sheet2.xml" Id="R06297748bf714533" /><Relationship Type="http://schemas.openxmlformats.org/officeDocument/2006/relationships/worksheet" Target="/xl/worksheets/sheet3.xml" Id="Raf40b0dee2da49ce" /><Relationship Type="http://schemas.openxmlformats.org/officeDocument/2006/relationships/worksheet" Target="/xl/worksheets/sheet4.xml" Id="Rddb72f0e42424338" /><Relationship Type="http://schemas.openxmlformats.org/officeDocument/2006/relationships/worksheet" Target="/xl/worksheets/sheet5.xml" Id="R2224ed14c30345a7" /><Relationship Type="http://schemas.openxmlformats.org/officeDocument/2006/relationships/worksheet" Target="/xl/worksheets/sheet6.xml" Id="R6a705bbb637647b6" /><Relationship Type="http://schemas.openxmlformats.org/officeDocument/2006/relationships/worksheet" Target="/xl/worksheets/sheet7.xml" Id="R745e910cee344fc0" /><Relationship Type="http://schemas.openxmlformats.org/officeDocument/2006/relationships/worksheet" Target="/xl/worksheets/sheet8.xml" Id="Rb6af98d5357e41fd" /><Relationship Type="http://schemas.openxmlformats.org/officeDocument/2006/relationships/worksheet" Target="/xl/worksheets/sheet9.xml" Id="R35a569dac2224656" /><Relationship Type="http://schemas.openxmlformats.org/officeDocument/2006/relationships/worksheet" Target="/xl/worksheets/sheet10.xml" Id="Rae96fa4f26be405a" /><Relationship Type="http://schemas.openxmlformats.org/officeDocument/2006/relationships/worksheet" Target="/xl/worksheets/sheet11.xml" Id="Ra321099ac04547b0" /><Relationship Type="http://schemas.openxmlformats.org/officeDocument/2006/relationships/worksheet" Target="/xl/worksheets/sheet12.xml" Id="R3b0cade903fc4a4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69dba7c264f4406" /><Relationship Type="http://schemas.openxmlformats.org/officeDocument/2006/relationships/chart" Target="/xl/drawings/charts/chart2.xml" Id="R592f88c35e1e4b6c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grouping val="clustered"/>
        <c:varyColors val="0"/>
        <c:ser>
          <c:idx val="0"/>
          <c:order val="0"/>
          <c:tx>
            <c:v>Нечёткий TOPSIS (CC)</c:v>
          </c:tx>
          <c:cat>
            <c:strRef>
              <c:f>'Обзор'!$A$13:$A$16</c:f>
              <c:strCache>
                <c:ptCount val="0"/>
              </c:strCache>
            </c:strRef>
          </c:cat>
          <c:val>
            <c:numRef>
              <c:f>'Обзор'!$B$13:$B$16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plotArea>
      <c:barChart>
        <c:barDir val="col"/>
        <c:grouping val="clustered"/>
        <c:varyColors val="0"/>
        <c:ser>
          <c:idx val="0"/>
          <c:order val="0"/>
          <c:tx>
            <c:v>Коллективный МАИ (приоритет)</c:v>
          </c:tx>
          <c:cat>
            <c:strRef>
              <c:f>'Обзор'!$A$13:$A$16</c:f>
              <c:strCache>
                <c:ptCount val="0"/>
              </c:strCache>
            </c:strRef>
          </c:cat>
          <c:val>
            <c:numRef>
              <c:f>'Обзор'!$D$13:$D$16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6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9dba7c264f4406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92f88c35e1e4b6c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1.xml" Id="Rd05515dc6a504e16" /></Relationships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62" hidden="0" customWidth="1"/>
    <x:col min="4" max="4" width="48" hidden="0" customWidth="1"/>
    <x:col min="5" max="5" width="14" hidden="0" customWidth="1"/>
  </x:cols>
  <x:sheetData>
    <x:row r="1" ht="24" customHeight="1">
      <x:c r="A1" s="10" t="str">
        <x:v>Критерии выбора и шкалы</x:v>
      </x:c>
      <x:c r="B1" s="10"/>
      <x:c r="C1" s="10"/>
      <x:c r="D1" s="10"/>
      <x:c r="E1" s="10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</x:row>
    <x:row r="2" ht="24" customHeight="1">
      <x:c r="A2" s="10"/>
      <x:c r="B2" s="10"/>
      <x:c r="C2" s="10"/>
      <x:c r="D2" s="10"/>
      <x:c r="E2" s="10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</x:row>
    <x:row r="3" ht="19" customHeight="1">
      <x:c r="A3" s="6" t="str">
        <x:v>Все критерии — выгоды: чем выше оценка, тем лучше (1…9).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</x:row>
    <x:row r="4" ht="19" customHeight="1">
      <x:c r="A4" s="6"/>
      <x:c r="B4" s="6"/>
      <x:c r="C4" s="6"/>
      <x:c r="D4" s="6"/>
      <x:c r="E4" s="6"/>
      <x:c r="F4" s="6"/>
      <x:c r="G4" s="6"/>
      <x:c r="H4" s="6"/>
      <x:c r="I4" s="6"/>
      <x:c r="J4" s="6"/>
      <x:c r="K4" s="6"/>
      <x:c r="L4" s="6"/>
      <x:c r="M4" s="6"/>
      <x:c r="N4" s="6"/>
      <x:c r="O4" s="6"/>
      <x:c r="P4" s="6"/>
      <x:c r="Q4" s="6"/>
    </x:row>
    <x:row r="5" ht="30" customHeight="1">
      <x:c r="A5" s="17" t="str">
        <x:v>Код</x:v>
      </x:c>
      <x:c r="B5" s="17" t="str">
        <x:v>Критерий</x:v>
      </x:c>
      <x:c r="C5" s="17" t="str">
        <x:v>Как оценивать</x:v>
      </x:c>
      <x:c r="D5" s="17" t="str">
        <x:v>Якоря шкалы</x:v>
      </x:c>
      <x:c r="E5" s="6"/>
      <x:c r="F5" s="6"/>
      <x:c r="G5" s="6"/>
      <x:c r="H5" s="6"/>
      <x:c r="I5" s="6"/>
      <x:c r="J5" s="6"/>
      <x:c r="K5" s="6"/>
      <x:c r="L5" s="6"/>
      <x:c r="M5" s="6"/>
      <x:c r="N5" s="6"/>
      <x:c r="O5" s="6"/>
      <x:c r="P5" s="6"/>
      <x:c r="Q5" s="6"/>
    </x:row>
    <x:row r="6" ht="55" customHeight="1">
      <x:c r="A6" s="6" t="str">
        <x:v>K1</x:v>
      </x:c>
      <x:c r="B6" s="22" t="str">
        <x:v>Полезность для студентов</x:v>
      </x:c>
      <x:c r="C6" s="22" t="str">
        <x:v>Насколько решение закрывает частую и понятную потребность целевой аудитории</x:v>
      </x:c>
      <x:c r="D6" s="22" t="str">
        <x:v>1 — сомнительная ценность; 9 — высокая ценность</x:v>
      </x:c>
      <x:c r="E6" s="6"/>
      <x:c r="F6" s="6"/>
      <x:c r="G6" s="6"/>
      <x:c r="H6" s="6"/>
      <x:c r="I6" s="6"/>
      <x:c r="J6" s="6"/>
      <x:c r="K6" s="6"/>
      <x:c r="L6" s="6"/>
      <x:c r="M6" s="6"/>
      <x:c r="N6" s="6"/>
      <x:c r="O6" s="6"/>
      <x:c r="P6" s="6"/>
      <x:c r="Q6" s="6"/>
    </x:row>
    <x:row r="7" ht="55" customHeight="1">
      <x:c r="A7" s="6" t="str">
        <x:v>K2</x:v>
      </x:c>
      <x:c r="B7" s="22" t="str">
        <x:v>Реализуемость MVP</x:v>
      </x:c>
      <x:c r="C7" s="22" t="str">
        <x:v>Насколько реально выполнить 12 UC силами трёх человек без платных интеграций</x:v>
      </x:c>
      <x:c r="D7" s="22" t="str">
        <x:v>1 — трудно выполнить; 9 — легко выполнить</x:v>
      </x:c>
      <x:c r="E7" s="6"/>
      <x:c r="F7" s="6"/>
      <x:c r="G7" s="6"/>
      <x:c r="H7" s="6"/>
      <x:c r="I7" s="6"/>
      <x:c r="J7" s="6"/>
      <x:c r="K7" s="6"/>
      <x:c r="L7" s="6"/>
      <x:c r="M7" s="6"/>
      <x:c r="N7" s="6"/>
      <x:c r="O7" s="6"/>
      <x:c r="P7" s="6"/>
      <x:c r="Q7" s="6"/>
    </x:row>
    <x:row r="8" ht="55" customHeight="1">
      <x:c r="A8" s="6" t="str">
        <x:v>K3</x:v>
      </x:c>
      <x:c r="B8" s="22" t="str">
        <x:v>Простота проверки и демонстрации</x:v>
      </x:c>
      <x:c r="C8" s="22" t="str">
        <x:v>Насколько легко написать тест-кейсы и показать сквозной сценарий</x:v>
      </x:c>
      <x:c r="D8" s="22" t="str">
        <x:v>1 — трудно проверить; 9 — наглядное демо</x:v>
      </x:c>
      <x:c r="E8" s="6"/>
      <x:c r="F8" s="6"/>
      <x:c r="G8" s="6"/>
      <x:c r="H8" s="6"/>
      <x:c r="I8" s="6"/>
      <x:c r="J8" s="6"/>
      <x:c r="K8" s="6"/>
      <x:c r="L8" s="6"/>
      <x:c r="M8" s="6"/>
      <x:c r="N8" s="6"/>
      <x:c r="O8" s="6"/>
      <x:c r="P8" s="6"/>
      <x:c r="Q8" s="6"/>
    </x:row>
    <x:row r="9" ht="55" customHeight="1">
      <x:c r="A9" s="6" t="str">
        <x:v>K4</x:v>
      </x:c>
      <x:c r="B9" s="22" t="str">
        <x:v>Доступность тестовых данных</x:v>
      </x:c>
      <x:c r="C9" s="22" t="str">
        <x:v>Можно ли безопасно сгенерировать реалистичные учебные данные и роли</x:v>
      </x:c>
      <x:c r="D9" s="22" t="str">
        <x:v>1 — данных почти нет; 9 — доступны без ограничений</x:v>
      </x:c>
      <x:c r="E9" s="6"/>
      <x:c r="F9" s="6"/>
      <x:c r="G9" s="6"/>
      <x:c r="H9" s="6"/>
      <x:c r="I9" s="6"/>
      <x:c r="J9" s="6"/>
      <x:c r="K9" s="6"/>
      <x:c r="L9" s="6"/>
      <x:c r="M9" s="6"/>
      <x:c r="N9" s="6"/>
      <x:c r="O9" s="6"/>
      <x:c r="P9" s="6"/>
      <x:c r="Q9" s="6"/>
    </x:row>
    <x:row r="10" ht="55" customHeight="1">
      <x:c r="A10" s="6" t="str">
        <x:v>K5</x:v>
      </x:c>
      <x:c r="B10" s="22" t="str">
        <x:v>Потенциал дальнейшего развития</x:v>
      </x:c>
      <x:c r="C10" s="22" t="str">
        <x:v>Можно ли добавить функции после MVP без радикальной смены архитектуры</x:v>
      </x:c>
      <x:c r="D10" s="22" t="str">
        <x:v>1 — почти нет развития; 9 — большой потенциал</x:v>
      </x:c>
      <x:c r="E10" s="6"/>
      <x:c r="F10" s="6"/>
      <x:c r="G10" s="6"/>
      <x:c r="H10" s="6"/>
      <x:c r="I10" s="6"/>
      <x:c r="J10" s="6"/>
      <x:c r="K10" s="6"/>
      <x:c r="L10" s="6"/>
      <x:c r="M10" s="6"/>
      <x:c r="N10" s="6"/>
      <x:c r="O10" s="6"/>
      <x:c r="P10" s="6"/>
      <x:c r="Q10" s="6"/>
    </x:row>
    <x:row r="11" ht="19" customHeight="1">
      <x:c r="A11" s="6"/>
      <x:c r="B11" s="6"/>
      <x:c r="C11" s="6"/>
      <x:c r="D11" s="6"/>
      <x:c r="E11" s="6"/>
      <x:c r="F11" s="6"/>
      <x:c r="G11" s="6"/>
      <x:c r="H11" s="6"/>
      <x:c r="I11" s="6"/>
      <x:c r="J11" s="6"/>
      <x:c r="K11" s="6"/>
      <x:c r="L11" s="6"/>
      <x:c r="M11" s="6"/>
      <x:c r="N11" s="6"/>
      <x:c r="O11" s="6"/>
      <x:c r="P11" s="6"/>
      <x:c r="Q11" s="6"/>
    </x:row>
    <x:row r="12" ht="19" customHeight="1">
      <x:c r="A12" s="6"/>
      <x:c r="B12" s="6"/>
      <x:c r="C12" s="6"/>
      <x:c r="D12" s="6"/>
      <x:c r="E12" s="6"/>
      <x:c r="F12" s="6"/>
      <x:c r="G12" s="6"/>
      <x:c r="H12" s="6"/>
      <x:c r="I12" s="6"/>
      <x:c r="J12" s="6"/>
      <x:c r="K12" s="6"/>
      <x:c r="L12" s="6"/>
      <x:c r="M12" s="6"/>
      <x:c r="N12" s="6"/>
      <x:c r="O12" s="6"/>
      <x:c r="P12" s="6"/>
      <x:c r="Q12" s="6"/>
    </x:row>
    <x:row r="13" ht="26" customHeight="1">
      <x:c r="A13" s="25" t="str">
        <x:v>Методическое правило</x:v>
      </x:c>
      <x:c r="B13" s="25"/>
      <x:c r="C13" s="25"/>
      <x:c r="D13" s="25"/>
      <x:c r="E13" s="6"/>
      <x:c r="F13" s="6"/>
      <x:c r="G13" s="6"/>
      <x:c r="H13" s="6"/>
      <x:c r="I13" s="6"/>
      <x:c r="J13" s="6"/>
      <x:c r="K13" s="6"/>
      <x:c r="L13" s="6"/>
      <x:c r="M13" s="6"/>
      <x:c r="N13" s="6"/>
      <x:c r="O13" s="6"/>
      <x:c r="P13" s="6"/>
      <x:c r="Q13" s="6"/>
    </x:row>
    <x:row r="14" ht="36" customHeight="1">
      <x:c r="A14" s="22" t="str">
        <x:v>Сначала участники независимо выставляют по одному баллу 1–9 за важность K1–K5 и каждую альтернативу по каждому критерию. Три балла сортируются: min/median/max → (пессимистичная, ожидаемая, оптимистичная) оценка.</x:v>
      </x:c>
      <x:c r="B14" s="22"/>
      <x:c r="C14" s="22"/>
      <x:c r="D14" s="22"/>
      <x:c r="E14" s="6"/>
      <x:c r="F14" s="6"/>
      <x:c r="G14" s="6"/>
      <x:c r="H14" s="6"/>
      <x:c r="I14" s="6"/>
      <x:c r="J14" s="6"/>
      <x:c r="K14" s="6"/>
      <x:c r="L14" s="6"/>
      <x:c r="M14" s="6"/>
      <x:c r="N14" s="6"/>
      <x:c r="O14" s="6"/>
      <x:c r="P14" s="6"/>
      <x:c r="Q14" s="6"/>
    </x:row>
    <x:row r="15" ht="36" customHeight="1">
      <x:c r="A15" s="22"/>
      <x:c r="B15" s="22"/>
      <x:c r="C15" s="22"/>
      <x:c r="D15" s="22"/>
      <x:c r="E15" s="6"/>
      <x:c r="F15" s="6"/>
      <x:c r="G15" s="6"/>
      <x:c r="H15" s="6"/>
      <x:c r="I15" s="6"/>
      <x:c r="J15" s="6"/>
      <x:c r="K15" s="6"/>
      <x:c r="L15" s="6"/>
      <x:c r="M15" s="6"/>
      <x:c r="N15" s="6"/>
      <x:c r="O15" s="6"/>
      <x:c r="P15" s="6"/>
      <x:c r="Q15" s="6"/>
    </x:row>
    <x:row r="16" ht="19" customHeight="1">
      <x:c r="A16" s="6"/>
      <x:c r="B16" s="6"/>
      <x:c r="C16" s="6"/>
      <x:c r="D16" s="6"/>
      <x:c r="E16" s="6"/>
      <x:c r="F16" s="6"/>
      <x:c r="G16" s="6"/>
      <x:c r="H16" s="6"/>
      <x:c r="I16" s="6"/>
      <x:c r="J16" s="6"/>
      <x:c r="K16" s="6"/>
      <x:c r="L16" s="6"/>
      <x:c r="M16" s="6"/>
      <x:c r="N16" s="6"/>
      <x:c r="O16" s="6"/>
      <x:c r="P16" s="6"/>
      <x:c r="Q16" s="6"/>
    </x:row>
    <x:row r="17" ht="19" customHeight="1">
      <x:c r="A17" s="6"/>
      <x:c r="B17" s="6"/>
      <x:c r="C17" s="6"/>
      <x:c r="D17" s="6"/>
      <x:c r="E17" s="6"/>
      <x:c r="F17" s="6"/>
      <x:c r="G17" s="6"/>
      <x:c r="H17" s="6"/>
      <x:c r="I17" s="6"/>
      <x:c r="J17" s="6"/>
      <x:c r="K17" s="6"/>
      <x:c r="L17" s="6"/>
      <x:c r="M17" s="6"/>
      <x:c r="N17" s="6"/>
      <x:c r="O17" s="6"/>
      <x:c r="P17" s="6"/>
      <x:c r="Q17" s="6"/>
    </x:row>
    <x:row r="18" ht="19" customHeight="1">
      <x:c r="A18" s="6"/>
      <x:c r="B18" s="6"/>
      <x:c r="C18" s="6"/>
      <x:c r="D18" s="6"/>
      <x:c r="E18" s="6"/>
      <x:c r="F18" s="6"/>
      <x:c r="G18" s="6"/>
      <x:c r="H18" s="6"/>
      <x:c r="I18" s="6"/>
      <x:c r="J18" s="6"/>
      <x:c r="K18" s="6"/>
      <x:c r="L18" s="6"/>
      <x:c r="M18" s="6"/>
      <x:c r="N18" s="6"/>
      <x:c r="O18" s="6"/>
      <x:c r="P18" s="6"/>
      <x:c r="Q18" s="6"/>
    </x:row>
    <x:row r="19" ht="19" customHeight="1">
      <x:c r="A19" s="6"/>
      <x:c r="B19" s="6"/>
      <x:c r="C19" s="6"/>
      <x:c r="D19" s="6"/>
      <x:c r="E19" s="6"/>
      <x:c r="F19" s="6"/>
      <x:c r="G19" s="6"/>
      <x:c r="H19" s="6"/>
      <x:c r="I19" s="6"/>
      <x:c r="J19" s="6"/>
      <x:c r="K19" s="6"/>
      <x:c r="L19" s="6"/>
      <x:c r="M19" s="6"/>
      <x:c r="N19" s="6"/>
      <x:c r="O19" s="6"/>
      <x:c r="P19" s="6"/>
      <x:c r="Q19" s="6"/>
    </x:row>
    <x:row r="20" ht="19" customHeight="1">
      <x:c r="A20" s="6"/>
      <x:c r="B20" s="6"/>
      <x:c r="C20" s="6"/>
      <x:c r="D20" s="6"/>
      <x:c r="E20" s="6"/>
      <x:c r="F20" s="6"/>
      <x:c r="G20" s="6"/>
      <x:c r="H20" s="6"/>
      <x:c r="I20" s="6"/>
      <x:c r="J20" s="6"/>
      <x:c r="K20" s="6"/>
      <x:c r="L20" s="6"/>
      <x:c r="M20" s="6"/>
      <x:c r="N20" s="6"/>
      <x:c r="O20" s="6"/>
      <x:c r="P20" s="6"/>
      <x:c r="Q20" s="6"/>
    </x:row>
    <x:row r="21" ht="19" customHeight="1">
      <x:c r="A21" s="6"/>
      <x:c r="B21" s="6"/>
      <x:c r="C21" s="6"/>
      <x:c r="D21" s="6"/>
      <x:c r="E21" s="6"/>
      <x:c r="F21" s="6"/>
      <x:c r="G21" s="6"/>
      <x:c r="H21" s="6"/>
      <x:c r="I21" s="6"/>
      <x:c r="J21" s="6"/>
      <x:c r="K21" s="6"/>
      <x:c r="L21" s="6"/>
      <x:c r="M21" s="6"/>
      <x:c r="N21" s="6"/>
      <x:c r="O21" s="6"/>
      <x:c r="P21" s="6"/>
      <x:c r="Q21" s="6"/>
    </x:row>
    <x:row r="22" ht="19" customHeight="1">
      <x:c r="A22" s="6"/>
      <x:c r="B22" s="6"/>
      <x:c r="C22" s="6"/>
      <x:c r="D22" s="6"/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  <x:c r="Q22" s="6"/>
    </x:row>
    <x:row r="23" ht="19" customHeight="1">
      <x:c r="A23" s="6"/>
      <x:c r="B23" s="6"/>
      <x:c r="C23" s="6"/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  <x:c r="Q23" s="6"/>
    </x:row>
    <x:row r="24" ht="19" customHeight="1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  <x:c r="Q24" s="6"/>
    </x:row>
    <x:row r="25" ht="19" customHeight="1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  <x:c r="Q25" s="6"/>
    </x:row>
    <x:row r="26" ht="19" customHeight="1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  <x:c r="Q26" s="6"/>
    </x:row>
    <x:row r="27" ht="19" customHeight="1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  <x:c r="Q27" s="6"/>
    </x:row>
    <x:row r="28" ht="19" customHeight="1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  <x:c r="Q28" s="6"/>
    </x:row>
    <x:row r="29" ht="19" customHeight="1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  <x:c r="Q29" s="6"/>
    </x:row>
    <x:row r="30" ht="19" customHeight="1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  <x:c r="Q30" s="6"/>
    </x:row>
    <x:row r="31" ht="19" customHeight="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  <x:c r="Q31" s="6"/>
    </x:row>
    <x:row r="32" ht="19" customHeight="1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  <x:c r="Q32" s="6"/>
    </x:row>
    <x:row r="33" ht="19" customHeight="1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  <x:c r="Q33" s="6"/>
    </x:row>
    <x:row r="34" ht="19" customHeight="1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  <x:c r="Q34" s="6"/>
    </x:row>
    <x:row r="35" ht="19" customHeight="1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  <x:c r="Q35" s="6"/>
    </x:row>
    <x:row r="36" ht="19" customHeight="1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  <x:c r="Q36" s="6"/>
    </x:row>
    <x:row r="37" ht="19" customHeight="1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  <x:c r="Q37" s="6"/>
    </x:row>
    <x:row r="38" ht="19" customHeight="1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  <x:c r="Q38" s="6"/>
    </x:row>
    <x:row r="39" ht="19" customHeight="1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  <x:c r="Q39" s="6"/>
    </x:row>
    <x:row r="40" ht="19" customHeight="1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  <x:c r="Q40" s="6"/>
    </x:row>
    <x:row r="41" ht="19" customHeight="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  <x:c r="Q41" s="6"/>
    </x:row>
    <x:row r="42" ht="19" customHeight="1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  <x:c r="Q42" s="6"/>
    </x:row>
    <x:row r="43" ht="19" customHeight="1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  <x:c r="Q43" s="6"/>
    </x:row>
    <x:row r="44" ht="19" customHeight="1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  <x:c r="Q44" s="6"/>
    </x:row>
    <x:row r="45" ht="19" customHeight="1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  <x:c r="Q45" s="6"/>
    </x:row>
    <x:row r="46" ht="19" customHeight="1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  <x:c r="Q46" s="6"/>
    </x:row>
    <x:row r="47" ht="19" customHeight="1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  <x:c r="Q47" s="6"/>
    </x:row>
    <x:row r="48" ht="19" customHeight="1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  <x:c r="Q48" s="6"/>
    </x:row>
    <x:row r="49" ht="19" customHeight="1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  <x:c r="Q49" s="6"/>
    </x:row>
    <x:row r="50" ht="19" customHeight="1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  <x:c r="Q50" s="6"/>
    </x:row>
    <x:row r="51" ht="19" customHeight="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  <x:c r="Q51" s="6"/>
    </x:row>
    <x:row r="52" ht="19" customHeight="1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  <x:c r="Q52" s="6"/>
    </x:row>
    <x:row r="53" ht="19" customHeight="1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  <x:c r="Q53" s="6"/>
    </x:row>
    <x:row r="54" ht="19" customHeight="1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  <x:c r="Q54" s="6"/>
    </x:row>
    <x:row r="55" ht="19" customHeight="1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  <x:c r="Q55" s="6"/>
    </x:row>
    <x:row r="56" ht="19" customHeight="1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  <x:c r="Q56" s="6"/>
    </x:row>
    <x:row r="57" ht="19" customHeight="1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  <x:c r="Q57" s="6"/>
    </x:row>
    <x:row r="58" ht="19" customHeight="1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  <x:c r="Q58" s="6"/>
    </x:row>
    <x:row r="59" ht="19" customHeight="1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  <x:c r="Q59" s="6"/>
    </x:row>
    <x:row r="60" ht="19" customHeight="1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  <x:c r="Q60" s="6"/>
    </x:row>
    <x:row r="61" ht="19" customHeight="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  <x:c r="Q61" s="6"/>
    </x:row>
    <x:row r="62" ht="19" customHeight="1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  <x:c r="Q62" s="6"/>
    </x:row>
    <x:row r="63" ht="19" customHeight="1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  <x:c r="Q63" s="6"/>
    </x:row>
    <x:row r="64" ht="19" customHeight="1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  <x:c r="Q64" s="6"/>
    </x:row>
    <x:row r="65" ht="19" customHeight="1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</x:row>
    <x:row r="66" ht="19" customHeight="1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  <x:c r="Q66" s="6"/>
    </x:row>
    <x:row r="67" ht="19" customHeight="1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  <x:c r="Q67" s="6"/>
    </x:row>
    <x:row r="68" ht="19" customHeight="1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  <x:c r="Q68" s="6"/>
    </x:row>
    <x:row r="69" ht="19" customHeight="1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  <x:c r="Q69" s="6"/>
    </x:row>
    <x:row r="70" ht="19" customHeight="1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</x:row>
    <x:row r="71" ht="19" customHeight="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  <x:c r="Q71" s="6"/>
    </x:row>
    <x:row r="72" ht="19" customHeight="1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  <x:c r="Q72" s="6"/>
    </x:row>
    <x:row r="73" ht="19" customHeight="1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  <x:c r="Q73" s="6"/>
    </x:row>
    <x:row r="74" ht="19" customHeight="1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  <x:c r="Q74" s="6"/>
    </x:row>
    <x:row r="75" ht="19" customHeight="1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  <x:c r="Q75" s="6"/>
    </x:row>
    <x:row r="76" ht="19" customHeight="1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  <x:c r="Q76" s="6"/>
    </x:row>
    <x:row r="77" ht="19" customHeight="1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  <x:c r="Q77" s="6"/>
    </x:row>
    <x:row r="78" ht="19" customHeight="1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  <x:c r="Q78" s="6"/>
    </x:row>
    <x:row r="79" ht="19" customHeight="1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  <x:c r="Q79" s="6"/>
    </x:row>
    <x:row r="80" ht="19" customHeight="1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  <x:c r="Q80" s="6"/>
    </x:row>
    <x:row r="81" ht="19" customHeight="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  <x:c r="Q81" s="6"/>
    </x:row>
    <x:row r="82" ht="19" customHeight="1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  <x:c r="Q82" s="6"/>
    </x:row>
    <x:row r="83" ht="19" customHeight="1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  <x:c r="Q83" s="6"/>
    </x:row>
    <x:row r="84" ht="19" customHeight="1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  <x:c r="Q84" s="6"/>
    </x:row>
    <x:row r="85" ht="19" customHeight="1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</x:row>
    <x:row r="86" ht="19" customHeight="1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  <x:c r="Q86" s="6"/>
    </x:row>
    <x:row r="87" ht="19" customHeight="1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  <x:c r="Q87" s="6"/>
    </x:row>
    <x:row r="88" ht="19" customHeight="1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  <x:c r="Q88" s="6"/>
    </x:row>
    <x:row r="89" ht="19" customHeight="1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  <x:c r="Q89" s="6"/>
    </x:row>
    <x:row r="90" ht="19" customHeight="1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  <x:c r="Q90" s="6"/>
    </x:row>
    <x:row r="91" ht="19" customHeight="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  <x:c r="Q91" s="6"/>
    </x:row>
    <x:row r="92" ht="19" customHeight="1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  <x:c r="Q92" s="6"/>
    </x:row>
    <x:row r="93" ht="19" customHeight="1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  <x:c r="Q93" s="6"/>
    </x:row>
    <x:row r="94" ht="19" customHeight="1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  <x:c r="Q94" s="6"/>
    </x:row>
    <x:row r="95" ht="19" customHeight="1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  <x:c r="Q95" s="6"/>
    </x:row>
    <x:row r="96" ht="19" customHeight="1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  <x:c r="Q96" s="6"/>
    </x:row>
    <x:row r="97" ht="19" customHeight="1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  <x:c r="Q97" s="6"/>
    </x:row>
    <x:row r="98" ht="19" customHeight="1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  <x:c r="Q98" s="6"/>
    </x:row>
    <x:row r="99" ht="19" customHeight="1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  <x:c r="Q99" s="6"/>
    </x:row>
    <x:row r="100" ht="19" customHeight="1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  <x:c r="Q100" s="6"/>
    </x:row>
    <x:row r="101" ht="19" customHeight="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  <x:c r="L101" s="6"/>
      <x:c r="M101" s="6"/>
      <x:c r="N101" s="6"/>
      <x:c r="O101" s="6"/>
      <x:c r="P101" s="6"/>
      <x:c r="Q101" s="6"/>
    </x:row>
    <x:row r="102" ht="19" customHeight="1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  <x:c r="M102" s="6"/>
      <x:c r="N102" s="6"/>
      <x:c r="O102" s="6"/>
      <x:c r="P102" s="6"/>
      <x:c r="Q102" s="6"/>
    </x:row>
    <x:row r="103" ht="19" customHeight="1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  <x:c r="L103" s="6"/>
      <x:c r="M103" s="6"/>
      <x:c r="N103" s="6"/>
      <x:c r="O103" s="6"/>
      <x:c r="P103" s="6"/>
      <x:c r="Q103" s="6"/>
    </x:row>
    <x:row r="104" ht="19" customHeight="1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  <x:c r="M104" s="6"/>
      <x:c r="N104" s="6"/>
      <x:c r="O104" s="6"/>
      <x:c r="P104" s="6"/>
      <x:c r="Q104" s="6"/>
    </x:row>
    <x:row r="105" ht="19" customHeight="1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  <x:c r="M105" s="6"/>
      <x:c r="N105" s="6"/>
      <x:c r="O105" s="6"/>
      <x:c r="P105" s="6"/>
      <x:c r="Q105" s="6"/>
    </x:row>
    <x:row r="106" ht="19" customHeight="1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  <x:c r="M106" s="6"/>
      <x:c r="N106" s="6"/>
      <x:c r="O106" s="6"/>
      <x:c r="P106" s="6"/>
      <x:c r="Q106" s="6"/>
    </x:row>
    <x:row r="107" ht="19" customHeight="1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  <x:c r="M107" s="6"/>
      <x:c r="N107" s="6"/>
      <x:c r="O107" s="6"/>
      <x:c r="P107" s="6"/>
      <x:c r="Q107" s="6"/>
    </x:row>
    <x:row r="108" ht="19" customHeight="1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  <x:c r="M108" s="6"/>
      <x:c r="N108" s="6"/>
      <x:c r="O108" s="6"/>
      <x:c r="P108" s="6"/>
      <x:c r="Q108" s="6"/>
    </x:row>
    <x:row r="109" ht="19" customHeight="1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  <x:c r="L109" s="6"/>
      <x:c r="M109" s="6"/>
      <x:c r="N109" s="6"/>
      <x:c r="O109" s="6"/>
      <x:c r="P109" s="6"/>
      <x:c r="Q109" s="6"/>
    </x:row>
    <x:row r="110" ht="19" customHeight="1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  <x:c r="L110" s="6"/>
      <x:c r="M110" s="6"/>
      <x:c r="N110" s="6"/>
      <x:c r="O110" s="6"/>
      <x:c r="P110" s="6"/>
      <x:c r="Q110" s="6"/>
    </x:row>
    <x:row r="111" ht="19" customHeight="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  <x:c r="L111" s="6"/>
      <x:c r="M111" s="6"/>
      <x:c r="N111" s="6"/>
      <x:c r="O111" s="6"/>
      <x:c r="P111" s="6"/>
      <x:c r="Q111" s="6"/>
    </x:row>
    <x:row r="112" ht="19" customHeight="1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  <x:c r="L112" s="6"/>
      <x:c r="M112" s="6"/>
      <x:c r="N112" s="6"/>
      <x:c r="O112" s="6"/>
      <x:c r="P112" s="6"/>
      <x:c r="Q112" s="6"/>
    </x:row>
    <x:row r="113" ht="19" customHeight="1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  <x:c r="L113" s="6"/>
      <x:c r="M113" s="6"/>
      <x:c r="N113" s="6"/>
      <x:c r="O113" s="6"/>
      <x:c r="P113" s="6"/>
      <x:c r="Q113" s="6"/>
    </x:row>
    <x:row r="114" ht="19" customHeight="1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  <x:c r="L114" s="6"/>
      <x:c r="M114" s="6"/>
      <x:c r="N114" s="6"/>
      <x:c r="O114" s="6"/>
      <x:c r="P114" s="6"/>
      <x:c r="Q114" s="6"/>
    </x:row>
    <x:row r="115" ht="19" customHeight="1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  <x:c r="M115" s="6"/>
      <x:c r="N115" s="6"/>
      <x:c r="O115" s="6"/>
      <x:c r="P115" s="6"/>
      <x:c r="Q115" s="6"/>
    </x:row>
    <x:row r="116" ht="19" customHeight="1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  <x:c r="L116" s="6"/>
      <x:c r="M116" s="6"/>
      <x:c r="N116" s="6"/>
      <x:c r="O116" s="6"/>
      <x:c r="P116" s="6"/>
      <x:c r="Q116" s="6"/>
    </x:row>
    <x:row r="117" ht="19" customHeight="1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  <x:c r="M117" s="6"/>
      <x:c r="N117" s="6"/>
      <x:c r="O117" s="6"/>
      <x:c r="P117" s="6"/>
      <x:c r="Q117" s="6"/>
    </x:row>
    <x:row r="118" ht="19" customHeight="1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  <x:c r="M118" s="6"/>
      <x:c r="N118" s="6"/>
      <x:c r="O118" s="6"/>
      <x:c r="P118" s="6"/>
      <x:c r="Q118" s="6"/>
    </x:row>
    <x:row r="119" ht="19" customHeight="1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  <x:c r="M119" s="6"/>
      <x:c r="N119" s="6"/>
      <x:c r="O119" s="6"/>
      <x:c r="P119" s="6"/>
      <x:c r="Q119" s="6"/>
    </x:row>
    <x:row r="120" ht="19" customHeight="1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  <x:c r="M120" s="6"/>
      <x:c r="N120" s="6"/>
      <x:c r="O120" s="6"/>
      <x:c r="P120" s="6"/>
      <x:c r="Q120" s="6"/>
    </x:row>
    <x:row r="121" ht="19" customHeight="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  <x:c r="M121" s="6"/>
      <x:c r="N121" s="6"/>
      <x:c r="O121" s="6"/>
      <x:c r="P121" s="6"/>
      <x:c r="Q121" s="6"/>
    </x:row>
    <x:row r="122" ht="19" customHeight="1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  <x:c r="L122" s="6"/>
      <x:c r="M122" s="6"/>
      <x:c r="N122" s="6"/>
      <x:c r="O122" s="6"/>
      <x:c r="P122" s="6"/>
      <x:c r="Q122" s="6"/>
    </x:row>
    <x:row r="123" ht="19" customHeight="1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  <x:c r="L123" s="6"/>
      <x:c r="M123" s="6"/>
      <x:c r="N123" s="6"/>
      <x:c r="O123" s="6"/>
      <x:c r="P123" s="6"/>
      <x:c r="Q123" s="6"/>
    </x:row>
    <x:row r="124" ht="19" customHeight="1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  <x:c r="L124" s="6"/>
      <x:c r="M124" s="6"/>
      <x:c r="N124" s="6"/>
      <x:c r="O124" s="6"/>
      <x:c r="P124" s="6"/>
      <x:c r="Q124" s="6"/>
    </x:row>
    <x:row r="125" ht="19" customHeight="1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  <x:c r="L125" s="6"/>
      <x:c r="M125" s="6"/>
      <x:c r="N125" s="6"/>
      <x:c r="O125" s="6"/>
      <x:c r="P125" s="6"/>
      <x:c r="Q125" s="6"/>
    </x:row>
    <x:row r="126" ht="19" customHeight="1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  <x:c r="L126" s="6"/>
      <x:c r="M126" s="6"/>
      <x:c r="N126" s="6"/>
      <x:c r="O126" s="6"/>
      <x:c r="P126" s="6"/>
      <x:c r="Q126" s="6"/>
    </x:row>
    <x:row r="127" ht="19" customHeight="1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  <x:c r="L127" s="6"/>
      <x:c r="M127" s="6"/>
      <x:c r="N127" s="6"/>
      <x:c r="O127" s="6"/>
      <x:c r="P127" s="6"/>
      <x:c r="Q127" s="6"/>
    </x:row>
    <x:row r="128" ht="19" customHeight="1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  <x:c r="M128" s="6"/>
      <x:c r="N128" s="6"/>
      <x:c r="O128" s="6"/>
      <x:c r="P128" s="6"/>
      <x:c r="Q128" s="6"/>
    </x:row>
    <x:row r="129" ht="19" customHeight="1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  <x:c r="L129" s="6"/>
      <x:c r="M129" s="6"/>
      <x:c r="N129" s="6"/>
      <x:c r="O129" s="6"/>
      <x:c r="P129" s="6"/>
      <x:c r="Q129" s="6"/>
    </x:row>
    <x:row r="130" ht="19" customHeight="1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  <x:c r="M130" s="6"/>
      <x:c r="N130" s="6"/>
      <x:c r="O130" s="6"/>
      <x:c r="P130" s="6"/>
      <x:c r="Q130" s="6"/>
    </x:row>
    <x:row r="131" ht="19" customHeight="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  <x:c r="M131" s="6"/>
      <x:c r="N131" s="6"/>
      <x:c r="O131" s="6"/>
      <x:c r="P131" s="6"/>
      <x:c r="Q131" s="6"/>
    </x:row>
    <x:row r="132" ht="19" customHeight="1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  <x:c r="M132" s="6"/>
      <x:c r="N132" s="6"/>
      <x:c r="O132" s="6"/>
      <x:c r="P132" s="6"/>
      <x:c r="Q132" s="6"/>
    </x:row>
    <x:row r="133" ht="19" customHeight="1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  <x:c r="M133" s="6"/>
      <x:c r="N133" s="6"/>
      <x:c r="O133" s="6"/>
      <x:c r="P133" s="6"/>
      <x:c r="Q133" s="6"/>
    </x:row>
    <x:row r="134" ht="19" customHeight="1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  <x:c r="M134" s="6"/>
      <x:c r="N134" s="6"/>
      <x:c r="O134" s="6"/>
      <x:c r="P134" s="6"/>
      <x:c r="Q134" s="6"/>
    </x:row>
    <x:row r="135" ht="19" customHeight="1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  <x:c r="M135" s="6"/>
      <x:c r="N135" s="6"/>
      <x:c r="O135" s="6"/>
      <x:c r="P135" s="6"/>
      <x:c r="Q135" s="6"/>
    </x:row>
    <x:row r="136" ht="19" customHeight="1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  <x:c r="M136" s="6"/>
      <x:c r="N136" s="6"/>
      <x:c r="O136" s="6"/>
      <x:c r="P136" s="6"/>
      <x:c r="Q136" s="6"/>
    </x:row>
    <x:row r="137" ht="19" customHeight="1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  <x:c r="M137" s="6"/>
      <x:c r="N137" s="6"/>
      <x:c r="O137" s="6"/>
      <x:c r="P137" s="6"/>
      <x:c r="Q137" s="6"/>
    </x:row>
    <x:row r="138" ht="19" customHeight="1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  <x:c r="M138" s="6"/>
      <x:c r="N138" s="6"/>
      <x:c r="O138" s="6"/>
      <x:c r="P138" s="6"/>
      <x:c r="Q138" s="6"/>
    </x:row>
    <x:row r="139" ht="19" customHeight="1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  <x:c r="N139" s="6"/>
      <x:c r="O139" s="6"/>
      <x:c r="P139" s="6"/>
      <x:c r="Q139" s="6"/>
    </x:row>
    <x:row r="140" ht="19" customHeight="1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  <x:c r="M140" s="6"/>
      <x:c r="N140" s="6"/>
      <x:c r="O140" s="6"/>
      <x:c r="P140" s="6"/>
      <x:c r="Q140" s="6"/>
    </x:row>
    <x:row r="141" ht="19" customHeight="1">
      <x:c r="A141" s="6"/>
      <x:c r="B141" s="6"/>
      <x:c r="C141" s="6"/>
      <x:c r="D141" s="6"/>
      <x:c r="E141" s="6"/>
      <x:c r="F141" s="6"/>
      <x:c r="G141" s="6"/>
      <x:c r="H141" s="6"/>
      <x:c r="I141" s="6"/>
      <x:c r="J141" s="6"/>
      <x:c r="K141" s="6"/>
      <x:c r="L141" s="6"/>
      <x:c r="M141" s="6"/>
      <x:c r="N141" s="6"/>
      <x:c r="O141" s="6"/>
      <x:c r="P141" s="6"/>
      <x:c r="Q141" s="6"/>
    </x:row>
    <x:row r="142" ht="19" customHeight="1">
      <x:c r="A142" s="6"/>
      <x:c r="B142" s="6"/>
      <x:c r="C142" s="6"/>
      <x:c r="D142" s="6"/>
      <x:c r="E142" s="6"/>
      <x:c r="F142" s="6"/>
      <x:c r="G142" s="6"/>
      <x:c r="H142" s="6"/>
      <x:c r="I142" s="6"/>
      <x:c r="J142" s="6"/>
      <x:c r="K142" s="6"/>
      <x:c r="L142" s="6"/>
      <x:c r="M142" s="6"/>
      <x:c r="N142" s="6"/>
      <x:c r="O142" s="6"/>
      <x:c r="P142" s="6"/>
      <x:c r="Q142" s="6"/>
    </x:row>
    <x:row r="143" ht="19" customHeight="1">
      <x:c r="A143" s="6"/>
      <x:c r="B143" s="6"/>
      <x:c r="C143" s="6"/>
      <x:c r="D143" s="6"/>
      <x:c r="E143" s="6"/>
      <x:c r="F143" s="6"/>
      <x:c r="G143" s="6"/>
      <x:c r="H143" s="6"/>
      <x:c r="I143" s="6"/>
      <x:c r="J143" s="6"/>
      <x:c r="K143" s="6"/>
      <x:c r="L143" s="6"/>
      <x:c r="M143" s="6"/>
      <x:c r="N143" s="6"/>
      <x:c r="O143" s="6"/>
      <x:c r="P143" s="6"/>
      <x:c r="Q143" s="6"/>
    </x:row>
    <x:row r="144" ht="19" customHeight="1">
      <x:c r="A144" s="6"/>
      <x:c r="B144" s="6"/>
      <x:c r="C144" s="6"/>
      <x:c r="D144" s="6"/>
      <x:c r="E144" s="6"/>
      <x:c r="F144" s="6"/>
      <x:c r="G144" s="6"/>
      <x:c r="H144" s="6"/>
      <x:c r="I144" s="6"/>
      <x:c r="J144" s="6"/>
      <x:c r="K144" s="6"/>
      <x:c r="L144" s="6"/>
      <x:c r="M144" s="6"/>
      <x:c r="N144" s="6"/>
      <x:c r="O144" s="6"/>
      <x:c r="P144" s="6"/>
      <x:c r="Q144" s="6"/>
    </x:row>
    <x:row r="145" ht="19" customHeight="1">
      <x:c r="A145" s="6"/>
      <x:c r="B145" s="6"/>
      <x:c r="C145" s="6"/>
      <x:c r="D145" s="6"/>
      <x:c r="E145" s="6"/>
      <x:c r="F145" s="6"/>
      <x:c r="G145" s="6"/>
      <x:c r="H145" s="6"/>
      <x:c r="I145" s="6"/>
      <x:c r="J145" s="6"/>
      <x:c r="K145" s="6"/>
      <x:c r="L145" s="6"/>
      <x:c r="M145" s="6"/>
      <x:c r="N145" s="6"/>
      <x:c r="O145" s="6"/>
      <x:c r="P145" s="6"/>
      <x:c r="Q145" s="6"/>
    </x:row>
    <x:row r="146" ht="19" customHeight="1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  <x:c r="K146" s="6"/>
      <x:c r="L146" s="6"/>
      <x:c r="M146" s="6"/>
      <x:c r="N146" s="6"/>
      <x:c r="O146" s="6"/>
      <x:c r="P146" s="6"/>
      <x:c r="Q146" s="6"/>
    </x:row>
    <x:row r="147" ht="19" customHeight="1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  <x:c r="K147" s="6"/>
      <x:c r="L147" s="6"/>
      <x:c r="M147" s="6"/>
      <x:c r="N147" s="6"/>
      <x:c r="O147" s="6"/>
      <x:c r="P147" s="6"/>
      <x:c r="Q147" s="6"/>
    </x:row>
    <x:row r="148" ht="19" customHeight="1">
      <x:c r="A148" s="6"/>
      <x:c r="B148" s="6"/>
      <x:c r="C148" s="6"/>
      <x:c r="D148" s="6"/>
      <x:c r="E148" s="6"/>
      <x:c r="F148" s="6"/>
      <x:c r="G148" s="6"/>
      <x:c r="H148" s="6"/>
      <x:c r="I148" s="6"/>
      <x:c r="J148" s="6"/>
      <x:c r="K148" s="6"/>
      <x:c r="L148" s="6"/>
      <x:c r="M148" s="6"/>
      <x:c r="N148" s="6"/>
      <x:c r="O148" s="6"/>
      <x:c r="P148" s="6"/>
      <x:c r="Q148" s="6"/>
    </x:row>
    <x:row r="149" ht="19" customHeight="1">
      <x:c r="A149" s="6"/>
      <x:c r="B149" s="6"/>
      <x:c r="C149" s="6"/>
      <x:c r="D149" s="6"/>
      <x:c r="E149" s="6"/>
      <x:c r="F149" s="6"/>
      <x:c r="G149" s="6"/>
      <x:c r="H149" s="6"/>
      <x:c r="I149" s="6"/>
      <x:c r="J149" s="6"/>
      <x:c r="K149" s="6"/>
      <x:c r="L149" s="6"/>
      <x:c r="M149" s="6"/>
      <x:c r="N149" s="6"/>
      <x:c r="O149" s="6"/>
      <x:c r="P149" s="6"/>
      <x:c r="Q149" s="6"/>
    </x:row>
    <x:row r="150" ht="19" customHeight="1">
      <x:c r="A150" s="6"/>
      <x:c r="B150" s="6"/>
      <x:c r="C150" s="6"/>
      <x:c r="D150" s="6"/>
      <x:c r="E150" s="6"/>
      <x:c r="F150" s="6"/>
      <x:c r="G150" s="6"/>
      <x:c r="H150" s="6"/>
      <x:c r="I150" s="6"/>
      <x:c r="J150" s="6"/>
      <x:c r="K150" s="6"/>
      <x:c r="L150" s="6"/>
      <x:c r="M150" s="6"/>
      <x:c r="N150" s="6"/>
      <x:c r="O150" s="6"/>
      <x:c r="P150" s="6"/>
      <x:c r="Q150" s="6"/>
    </x:row>
    <x:row r="151" ht="19" customHeight="1">
      <x:c r="A151" s="6"/>
      <x:c r="B151" s="6"/>
      <x:c r="C151" s="6"/>
      <x:c r="D151" s="6"/>
      <x:c r="E151" s="6"/>
      <x:c r="F151" s="6"/>
      <x:c r="G151" s="6"/>
      <x:c r="H151" s="6"/>
      <x:c r="I151" s="6"/>
      <x:c r="J151" s="6"/>
      <x:c r="K151" s="6"/>
      <x:c r="L151" s="6"/>
      <x:c r="M151" s="6"/>
      <x:c r="N151" s="6"/>
      <x:c r="O151" s="6"/>
      <x:c r="P151" s="6"/>
      <x:c r="Q151" s="6"/>
    </x:row>
    <x:row r="152" ht="19" customHeight="1">
      <x:c r="A152" s="6"/>
      <x:c r="B152" s="6"/>
      <x:c r="C152" s="6"/>
      <x:c r="D152" s="6"/>
      <x:c r="E152" s="6"/>
      <x:c r="F152" s="6"/>
      <x:c r="G152" s="6"/>
      <x:c r="H152" s="6"/>
      <x:c r="I152" s="6"/>
      <x:c r="J152" s="6"/>
      <x:c r="K152" s="6"/>
      <x:c r="L152" s="6"/>
      <x:c r="M152" s="6"/>
      <x:c r="N152" s="6"/>
      <x:c r="O152" s="6"/>
      <x:c r="P152" s="6"/>
      <x:c r="Q152" s="6"/>
    </x:row>
    <x:row r="153" ht="19" customHeight="1">
      <x:c r="A153" s="6"/>
      <x:c r="B153" s="6"/>
      <x:c r="C153" s="6"/>
      <x:c r="D153" s="6"/>
      <x:c r="E153" s="6"/>
      <x:c r="F153" s="6"/>
      <x:c r="G153" s="6"/>
      <x:c r="H153" s="6"/>
      <x:c r="I153" s="6"/>
      <x:c r="J153" s="6"/>
      <x:c r="K153" s="6"/>
      <x:c r="L153" s="6"/>
      <x:c r="M153" s="6"/>
      <x:c r="N153" s="6"/>
      <x:c r="O153" s="6"/>
      <x:c r="P153" s="6"/>
      <x:c r="Q153" s="6"/>
    </x:row>
    <x:row r="154" ht="19" customHeight="1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  <x:c r="K154" s="6"/>
      <x:c r="L154" s="6"/>
      <x:c r="M154" s="6"/>
      <x:c r="N154" s="6"/>
      <x:c r="O154" s="6"/>
      <x:c r="P154" s="6"/>
      <x:c r="Q154" s="6"/>
    </x:row>
    <x:row r="155" ht="19" customHeight="1">
      <x:c r="A155" s="6"/>
      <x:c r="B155" s="6"/>
      <x:c r="C155" s="6"/>
      <x:c r="D155" s="6"/>
      <x:c r="E155" s="6"/>
      <x:c r="F155" s="6"/>
      <x:c r="G155" s="6"/>
      <x:c r="H155" s="6"/>
      <x:c r="I155" s="6"/>
      <x:c r="J155" s="6"/>
      <x:c r="K155" s="6"/>
      <x:c r="L155" s="6"/>
      <x:c r="M155" s="6"/>
      <x:c r="N155" s="6"/>
      <x:c r="O155" s="6"/>
      <x:c r="P155" s="6"/>
      <x:c r="Q155" s="6"/>
    </x:row>
    <x:row r="156" ht="19" customHeight="1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  <x:c r="K156" s="6"/>
      <x:c r="L156" s="6"/>
      <x:c r="M156" s="6"/>
      <x:c r="N156" s="6"/>
      <x:c r="O156" s="6"/>
      <x:c r="P156" s="6"/>
      <x:c r="Q156" s="6"/>
    </x:row>
    <x:row r="157" ht="19" customHeight="1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  <x:c r="K157" s="6"/>
      <x:c r="L157" s="6"/>
      <x:c r="M157" s="6"/>
      <x:c r="N157" s="6"/>
      <x:c r="O157" s="6"/>
      <x:c r="P157" s="6"/>
      <x:c r="Q157" s="6"/>
    </x:row>
    <x:row r="158" ht="19" customHeight="1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  <x:c r="K158" s="6"/>
      <x:c r="L158" s="6"/>
      <x:c r="M158" s="6"/>
      <x:c r="N158" s="6"/>
      <x:c r="O158" s="6"/>
      <x:c r="P158" s="6"/>
      <x:c r="Q158" s="6"/>
    </x:row>
    <x:row r="159" ht="19" customHeight="1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  <x:c r="K159" s="6"/>
      <x:c r="L159" s="6"/>
      <x:c r="M159" s="6"/>
      <x:c r="N159" s="6"/>
      <x:c r="O159" s="6"/>
      <x:c r="P159" s="6"/>
      <x:c r="Q159" s="6"/>
    </x:row>
    <x:row r="160" ht="19" customHeight="1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  <x:c r="K160" s="6"/>
      <x:c r="L160" s="6"/>
      <x:c r="M160" s="6"/>
      <x:c r="N160" s="6"/>
      <x:c r="O160" s="6"/>
      <x:c r="P160" s="6"/>
      <x:c r="Q160" s="6"/>
    </x:row>
    <x:row r="161" ht="19" customHeight="1">
      <x:c r="A161" s="6"/>
      <x:c r="B161" s="6"/>
      <x:c r="C161" s="6"/>
      <x:c r="D161" s="6"/>
      <x:c r="E161" s="6"/>
      <x:c r="F161" s="6"/>
      <x:c r="G161" s="6"/>
      <x:c r="H161" s="6"/>
      <x:c r="I161" s="6"/>
      <x:c r="J161" s="6"/>
      <x:c r="K161" s="6"/>
      <x:c r="L161" s="6"/>
      <x:c r="M161" s="6"/>
      <x:c r="N161" s="6"/>
      <x:c r="O161" s="6"/>
      <x:c r="P161" s="6"/>
      <x:c r="Q161" s="6"/>
    </x:row>
    <x:row r="162" ht="19" customHeight="1">
      <x:c r="A162" s="6"/>
      <x:c r="B162" s="6"/>
      <x:c r="C162" s="6"/>
      <x:c r="D162" s="6"/>
      <x:c r="E162" s="6"/>
      <x:c r="F162" s="6"/>
      <x:c r="G162" s="6"/>
      <x:c r="H162" s="6"/>
      <x:c r="I162" s="6"/>
      <x:c r="J162" s="6"/>
      <x:c r="K162" s="6"/>
      <x:c r="L162" s="6"/>
      <x:c r="M162" s="6"/>
      <x:c r="N162" s="6"/>
      <x:c r="O162" s="6"/>
      <x:c r="P162" s="6"/>
      <x:c r="Q162" s="6"/>
    </x:row>
    <x:row r="163" ht="19" customHeight="1">
      <x:c r="A163" s="6"/>
      <x:c r="B163" s="6"/>
      <x:c r="C163" s="6"/>
      <x:c r="D163" s="6"/>
      <x:c r="E163" s="6"/>
      <x:c r="F163" s="6"/>
      <x:c r="G163" s="6"/>
      <x:c r="H163" s="6"/>
      <x:c r="I163" s="6"/>
      <x:c r="J163" s="6"/>
      <x:c r="K163" s="6"/>
      <x:c r="L163" s="6"/>
      <x:c r="M163" s="6"/>
      <x:c r="N163" s="6"/>
      <x:c r="O163" s="6"/>
      <x:c r="P163" s="6"/>
      <x:c r="Q163" s="6"/>
    </x:row>
    <x:row r="164" ht="19" customHeight="1">
      <x:c r="A164" s="6"/>
      <x:c r="B164" s="6"/>
      <x:c r="C164" s="6"/>
      <x:c r="D164" s="6"/>
      <x:c r="E164" s="6"/>
      <x:c r="F164" s="6"/>
      <x:c r="G164" s="6"/>
      <x:c r="H164" s="6"/>
      <x:c r="I164" s="6"/>
      <x:c r="J164" s="6"/>
      <x:c r="K164" s="6"/>
      <x:c r="L164" s="6"/>
      <x:c r="M164" s="6"/>
      <x:c r="N164" s="6"/>
      <x:c r="O164" s="6"/>
      <x:c r="P164" s="6"/>
      <x:c r="Q164" s="6"/>
    </x:row>
    <x:row r="165" ht="19" customHeight="1">
      <x:c r="A165" s="6"/>
      <x:c r="B165" s="6"/>
      <x:c r="C165" s="6"/>
      <x:c r="D165" s="6"/>
      <x:c r="E165" s="6"/>
      <x:c r="F165" s="6"/>
      <x:c r="G165" s="6"/>
      <x:c r="H165" s="6"/>
      <x:c r="I165" s="6"/>
      <x:c r="J165" s="6"/>
      <x:c r="K165" s="6"/>
      <x:c r="L165" s="6"/>
      <x:c r="M165" s="6"/>
      <x:c r="N165" s="6"/>
      <x:c r="O165" s="6"/>
      <x:c r="P165" s="6"/>
      <x:c r="Q165" s="6"/>
    </x:row>
    <x:row r="166" ht="19" customHeight="1">
      <x:c r="A166" s="6"/>
      <x:c r="B166" s="6"/>
      <x:c r="C166" s="6"/>
      <x:c r="D166" s="6"/>
      <x:c r="E166" s="6"/>
      <x:c r="F166" s="6"/>
      <x:c r="G166" s="6"/>
      <x:c r="H166" s="6"/>
      <x:c r="I166" s="6"/>
      <x:c r="J166" s="6"/>
      <x:c r="K166" s="6"/>
      <x:c r="L166" s="6"/>
      <x:c r="M166" s="6"/>
      <x:c r="N166" s="6"/>
      <x:c r="O166" s="6"/>
      <x:c r="P166" s="6"/>
      <x:c r="Q166" s="6"/>
    </x:row>
    <x:row r="167" ht="19" customHeight="1">
      <x:c r="A167" s="6"/>
      <x:c r="B167" s="6"/>
      <x:c r="C167" s="6"/>
      <x:c r="D167" s="6"/>
      <x:c r="E167" s="6"/>
      <x:c r="F167" s="6"/>
      <x:c r="G167" s="6"/>
      <x:c r="H167" s="6"/>
      <x:c r="I167" s="6"/>
      <x:c r="J167" s="6"/>
      <x:c r="K167" s="6"/>
      <x:c r="L167" s="6"/>
      <x:c r="M167" s="6"/>
      <x:c r="N167" s="6"/>
      <x:c r="O167" s="6"/>
      <x:c r="P167" s="6"/>
      <x:c r="Q167" s="6"/>
    </x:row>
    <x:row r="168" ht="19" customHeight="1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  <x:c r="K168" s="6"/>
      <x:c r="L168" s="6"/>
      <x:c r="M168" s="6"/>
      <x:c r="N168" s="6"/>
      <x:c r="O168" s="6"/>
      <x:c r="P168" s="6"/>
      <x:c r="Q168" s="6"/>
    </x:row>
    <x:row r="169" ht="19" customHeight="1">
      <x:c r="A169" s="6"/>
      <x:c r="B169" s="6"/>
      <x:c r="C169" s="6"/>
      <x:c r="D169" s="6"/>
      <x:c r="E169" s="6"/>
      <x:c r="F169" s="6"/>
      <x:c r="G169" s="6"/>
      <x:c r="H169" s="6"/>
      <x:c r="I169" s="6"/>
      <x:c r="J169" s="6"/>
      <x:c r="K169" s="6"/>
      <x:c r="L169" s="6"/>
      <x:c r="M169" s="6"/>
      <x:c r="N169" s="6"/>
      <x:c r="O169" s="6"/>
      <x:c r="P169" s="6"/>
      <x:c r="Q169" s="6"/>
    </x:row>
    <x:row r="170" ht="19" customHeight="1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  <x:c r="K170" s="6"/>
      <x:c r="L170" s="6"/>
      <x:c r="M170" s="6"/>
      <x:c r="N170" s="6"/>
      <x:c r="O170" s="6"/>
      <x:c r="P170" s="6"/>
      <x:c r="Q170" s="6"/>
    </x:row>
    <x:row r="171" ht="19" customHeight="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  <x:c r="M171" s="6"/>
      <x:c r="N171" s="6"/>
      <x:c r="O171" s="6"/>
      <x:c r="P171" s="6"/>
      <x:c r="Q171" s="6"/>
    </x:row>
    <x:row r="172" ht="19" customHeight="1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  <x:c r="K172" s="6"/>
      <x:c r="L172" s="6"/>
      <x:c r="M172" s="6"/>
      <x:c r="N172" s="6"/>
      <x:c r="O172" s="6"/>
      <x:c r="P172" s="6"/>
      <x:c r="Q172" s="6"/>
    </x:row>
    <x:row r="173" ht="19" customHeight="1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  <x:c r="K173" s="6"/>
      <x:c r="L173" s="6"/>
      <x:c r="M173" s="6"/>
      <x:c r="N173" s="6"/>
      <x:c r="O173" s="6"/>
      <x:c r="P173" s="6"/>
      <x:c r="Q173" s="6"/>
    </x:row>
    <x:row r="174" ht="19" customHeight="1">
      <x:c r="A174" s="6"/>
      <x:c r="B174" s="6"/>
      <x:c r="C174" s="6"/>
      <x:c r="D174" s="6"/>
      <x:c r="E174" s="6"/>
      <x:c r="F174" s="6"/>
      <x:c r="G174" s="6"/>
      <x:c r="H174" s="6"/>
      <x:c r="I174" s="6"/>
      <x:c r="J174" s="6"/>
      <x:c r="K174" s="6"/>
      <x:c r="L174" s="6"/>
      <x:c r="M174" s="6"/>
      <x:c r="N174" s="6"/>
      <x:c r="O174" s="6"/>
      <x:c r="P174" s="6"/>
      <x:c r="Q174" s="6"/>
    </x:row>
    <x:row r="175" ht="19" customHeight="1">
      <x:c r="A175" s="6"/>
      <x:c r="B175" s="6"/>
      <x:c r="C175" s="6"/>
      <x:c r="D175" s="6"/>
      <x:c r="E175" s="6"/>
      <x:c r="F175" s="6"/>
      <x:c r="G175" s="6"/>
      <x:c r="H175" s="6"/>
      <x:c r="I175" s="6"/>
      <x:c r="J175" s="6"/>
      <x:c r="K175" s="6"/>
      <x:c r="L175" s="6"/>
      <x:c r="M175" s="6"/>
      <x:c r="N175" s="6"/>
      <x:c r="O175" s="6"/>
      <x:c r="P175" s="6"/>
      <x:c r="Q175" s="6"/>
    </x:row>
    <x:row r="176" ht="19" customHeight="1">
      <x:c r="A176" s="6"/>
      <x:c r="B176" s="6"/>
      <x:c r="C176" s="6"/>
      <x:c r="D176" s="6"/>
      <x:c r="E176" s="6"/>
      <x:c r="F176" s="6"/>
      <x:c r="G176" s="6"/>
      <x:c r="H176" s="6"/>
      <x:c r="I176" s="6"/>
      <x:c r="J176" s="6"/>
      <x:c r="K176" s="6"/>
      <x:c r="L176" s="6"/>
      <x:c r="M176" s="6"/>
      <x:c r="N176" s="6"/>
      <x:c r="O176" s="6"/>
      <x:c r="P176" s="6"/>
      <x:c r="Q176" s="6"/>
    </x:row>
    <x:row r="177" ht="19" customHeight="1">
      <x:c r="A177" s="6"/>
      <x:c r="B177" s="6"/>
      <x:c r="C177" s="6"/>
      <x:c r="D177" s="6"/>
      <x:c r="E177" s="6"/>
      <x:c r="F177" s="6"/>
      <x:c r="G177" s="6"/>
      <x:c r="H177" s="6"/>
      <x:c r="I177" s="6"/>
      <x:c r="J177" s="6"/>
      <x:c r="K177" s="6"/>
      <x:c r="L177" s="6"/>
      <x:c r="M177" s="6"/>
      <x:c r="N177" s="6"/>
      <x:c r="O177" s="6"/>
      <x:c r="P177" s="6"/>
      <x:c r="Q177" s="6"/>
    </x:row>
    <x:row r="178" ht="19" customHeight="1">
      <x:c r="A178" s="6"/>
      <x:c r="B178" s="6"/>
      <x:c r="C178" s="6"/>
      <x:c r="D178" s="6"/>
      <x:c r="E178" s="6"/>
      <x:c r="F178" s="6"/>
      <x:c r="G178" s="6"/>
      <x:c r="H178" s="6"/>
      <x:c r="I178" s="6"/>
      <x:c r="J178" s="6"/>
      <x:c r="K178" s="6"/>
      <x:c r="L178" s="6"/>
      <x:c r="M178" s="6"/>
      <x:c r="N178" s="6"/>
      <x:c r="O178" s="6"/>
      <x:c r="P178" s="6"/>
      <x:c r="Q178" s="6"/>
    </x:row>
    <x:row r="179" ht="19" customHeight="1">
      <x:c r="A179" s="6"/>
      <x:c r="B179" s="6"/>
      <x:c r="C179" s="6"/>
      <x:c r="D179" s="6"/>
      <x:c r="E179" s="6"/>
      <x:c r="F179" s="6"/>
      <x:c r="G179" s="6"/>
      <x:c r="H179" s="6"/>
      <x:c r="I179" s="6"/>
      <x:c r="J179" s="6"/>
      <x:c r="K179" s="6"/>
      <x:c r="L179" s="6"/>
      <x:c r="M179" s="6"/>
      <x:c r="N179" s="6"/>
      <x:c r="O179" s="6"/>
      <x:c r="P179" s="6"/>
      <x:c r="Q179" s="6"/>
    </x:row>
    <x:row r="180" ht="19" customHeight="1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  <x:c r="K180" s="6"/>
      <x:c r="L180" s="6"/>
      <x:c r="M180" s="6"/>
      <x:c r="N180" s="6"/>
      <x:c r="O180" s="6"/>
      <x:c r="P180" s="6"/>
      <x:c r="Q180" s="6"/>
    </x:row>
    <x:row r="181" ht="19" customHeight="1">
      <x:c r="A181" s="6"/>
      <x:c r="B181" s="6"/>
      <x:c r="C181" s="6"/>
      <x:c r="D181" s="6"/>
      <x:c r="E181" s="6"/>
      <x:c r="F181" s="6"/>
      <x:c r="G181" s="6"/>
      <x:c r="H181" s="6"/>
      <x:c r="I181" s="6"/>
      <x:c r="J181" s="6"/>
      <x:c r="K181" s="6"/>
      <x:c r="L181" s="6"/>
      <x:c r="M181" s="6"/>
      <x:c r="N181" s="6"/>
      <x:c r="O181" s="6"/>
      <x:c r="P181" s="6"/>
      <x:c r="Q181" s="6"/>
    </x:row>
    <x:row r="182" ht="19" customHeight="1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  <x:c r="K182" s="6"/>
      <x:c r="L182" s="6"/>
      <x:c r="M182" s="6"/>
      <x:c r="N182" s="6"/>
      <x:c r="O182" s="6"/>
      <x:c r="P182" s="6"/>
      <x:c r="Q182" s="6"/>
    </x:row>
    <x:row r="183" ht="19" customHeight="1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  <x:c r="M183" s="6"/>
      <x:c r="N183" s="6"/>
      <x:c r="O183" s="6"/>
      <x:c r="P183" s="6"/>
      <x:c r="Q183" s="6"/>
    </x:row>
    <x:row r="184" ht="19" customHeight="1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  <x:c r="K184" s="6"/>
      <x:c r="L184" s="6"/>
      <x:c r="M184" s="6"/>
      <x:c r="N184" s="6"/>
      <x:c r="O184" s="6"/>
      <x:c r="P184" s="6"/>
      <x:c r="Q184" s="6"/>
    </x:row>
    <x:row r="185" ht="19" customHeight="1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  <x:c r="M185" s="6"/>
      <x:c r="N185" s="6"/>
      <x:c r="O185" s="6"/>
      <x:c r="P185" s="6"/>
      <x:c r="Q185" s="6"/>
    </x:row>
    <x:row r="186" ht="19" customHeight="1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  <x:c r="K186" s="6"/>
      <x:c r="L186" s="6"/>
      <x:c r="M186" s="6"/>
      <x:c r="N186" s="6"/>
      <x:c r="O186" s="6"/>
      <x:c r="P186" s="6"/>
      <x:c r="Q186" s="6"/>
    </x:row>
    <x:row r="187" ht="19" customHeight="1">
      <x:c r="A187" s="6"/>
      <x:c r="B187" s="6"/>
      <x:c r="C187" s="6"/>
      <x:c r="D187" s="6"/>
      <x:c r="E187" s="6"/>
      <x:c r="F187" s="6"/>
      <x:c r="G187" s="6"/>
      <x:c r="H187" s="6"/>
      <x:c r="I187" s="6"/>
      <x:c r="J187" s="6"/>
      <x:c r="K187" s="6"/>
      <x:c r="L187" s="6"/>
      <x:c r="M187" s="6"/>
      <x:c r="N187" s="6"/>
      <x:c r="O187" s="6"/>
      <x:c r="P187" s="6"/>
      <x:c r="Q187" s="6"/>
    </x:row>
    <x:row r="188" ht="19" customHeight="1">
      <x:c r="A188" s="6"/>
      <x:c r="B188" s="6"/>
      <x:c r="C188" s="6"/>
      <x:c r="D188" s="6"/>
      <x:c r="E188" s="6"/>
      <x:c r="F188" s="6"/>
      <x:c r="G188" s="6"/>
      <x:c r="H188" s="6"/>
      <x:c r="I188" s="6"/>
      <x:c r="J188" s="6"/>
      <x:c r="K188" s="6"/>
      <x:c r="L188" s="6"/>
      <x:c r="M188" s="6"/>
      <x:c r="N188" s="6"/>
      <x:c r="O188" s="6"/>
      <x:c r="P188" s="6"/>
      <x:c r="Q188" s="6"/>
    </x:row>
    <x:row r="189" ht="19" customHeight="1">
      <x:c r="A189" s="6"/>
      <x:c r="B189" s="6"/>
      <x:c r="C189" s="6"/>
      <x:c r="D189" s="6"/>
      <x:c r="E189" s="6"/>
      <x:c r="F189" s="6"/>
      <x:c r="G189" s="6"/>
      <x:c r="H189" s="6"/>
      <x:c r="I189" s="6"/>
      <x:c r="J189" s="6"/>
      <x:c r="K189" s="6"/>
      <x:c r="L189" s="6"/>
      <x:c r="M189" s="6"/>
      <x:c r="N189" s="6"/>
      <x:c r="O189" s="6"/>
      <x:c r="P189" s="6"/>
      <x:c r="Q189" s="6"/>
    </x:row>
    <x:row r="190" ht="19" customHeight="1">
      <x:c r="A190" s="6"/>
      <x:c r="B190" s="6"/>
      <x:c r="C190" s="6"/>
      <x:c r="D190" s="6"/>
      <x:c r="E190" s="6"/>
      <x:c r="F190" s="6"/>
      <x:c r="G190" s="6"/>
      <x:c r="H190" s="6"/>
      <x:c r="I190" s="6"/>
      <x:c r="J190" s="6"/>
      <x:c r="K190" s="6"/>
      <x:c r="L190" s="6"/>
      <x:c r="M190" s="6"/>
      <x:c r="N190" s="6"/>
      <x:c r="O190" s="6"/>
      <x:c r="P190" s="6"/>
      <x:c r="Q190" s="6"/>
    </x:row>
    <x:row r="191" ht="19" customHeight="1">
      <x:c r="A191" s="6"/>
      <x:c r="B191" s="6"/>
      <x:c r="C191" s="6"/>
      <x:c r="D191" s="6"/>
      <x:c r="E191" s="6"/>
      <x:c r="F191" s="6"/>
      <x:c r="G191" s="6"/>
      <x:c r="H191" s="6"/>
      <x:c r="I191" s="6"/>
      <x:c r="J191" s="6"/>
      <x:c r="K191" s="6"/>
      <x:c r="L191" s="6"/>
      <x:c r="M191" s="6"/>
      <x:c r="N191" s="6"/>
      <x:c r="O191" s="6"/>
      <x:c r="P191" s="6"/>
      <x:c r="Q191" s="6"/>
    </x:row>
    <x:row r="192" ht="19" customHeight="1">
      <x:c r="A192" s="6"/>
      <x:c r="B192" s="6"/>
      <x:c r="C192" s="6"/>
      <x:c r="D192" s="6"/>
      <x:c r="E192" s="6"/>
      <x:c r="F192" s="6"/>
      <x:c r="G192" s="6"/>
      <x:c r="H192" s="6"/>
      <x:c r="I192" s="6"/>
      <x:c r="J192" s="6"/>
      <x:c r="K192" s="6"/>
      <x:c r="L192" s="6"/>
      <x:c r="M192" s="6"/>
      <x:c r="N192" s="6"/>
      <x:c r="O192" s="6"/>
      <x:c r="P192" s="6"/>
      <x:c r="Q192" s="6"/>
    </x:row>
    <x:row r="193" ht="19" customHeight="1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  <x:c r="M193" s="6"/>
      <x:c r="N193" s="6"/>
      <x:c r="O193" s="6"/>
      <x:c r="P193" s="6"/>
      <x:c r="Q193" s="6"/>
    </x:row>
    <x:row r="194" ht="19" customHeight="1">
      <x:c r="A194" s="6"/>
      <x:c r="B194" s="6"/>
      <x:c r="C194" s="6"/>
      <x:c r="D194" s="6"/>
      <x:c r="E194" s="6"/>
      <x:c r="F194" s="6"/>
      <x:c r="G194" s="6"/>
      <x:c r="H194" s="6"/>
      <x:c r="I194" s="6"/>
      <x:c r="J194" s="6"/>
      <x:c r="K194" s="6"/>
      <x:c r="L194" s="6"/>
      <x:c r="M194" s="6"/>
      <x:c r="N194" s="6"/>
      <x:c r="O194" s="6"/>
      <x:c r="P194" s="6"/>
      <x:c r="Q194" s="6"/>
    </x:row>
    <x:row r="195" ht="19" customHeight="1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  <x:c r="M195" s="6"/>
      <x:c r="N195" s="6"/>
      <x:c r="O195" s="6"/>
      <x:c r="P195" s="6"/>
      <x:c r="Q195" s="6"/>
    </x:row>
    <x:row r="196" ht="19" customHeight="1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  <x:c r="K196" s="6"/>
      <x:c r="L196" s="6"/>
      <x:c r="M196" s="6"/>
      <x:c r="N196" s="6"/>
      <x:c r="O196" s="6"/>
      <x:c r="P196" s="6"/>
      <x:c r="Q196" s="6"/>
    </x:row>
    <x:row r="197" ht="19" customHeight="1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  <x:c r="K197" s="6"/>
      <x:c r="L197" s="6"/>
      <x:c r="M197" s="6"/>
      <x:c r="N197" s="6"/>
      <x:c r="O197" s="6"/>
      <x:c r="P197" s="6"/>
      <x:c r="Q197" s="6"/>
    </x:row>
    <x:row r="198" ht="19" customHeight="1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  <x:c r="K198" s="6"/>
      <x:c r="L198" s="6"/>
      <x:c r="M198" s="6"/>
      <x:c r="N198" s="6"/>
      <x:c r="O198" s="6"/>
      <x:c r="P198" s="6"/>
      <x:c r="Q198" s="6"/>
    </x:row>
    <x:row r="199" ht="19" customHeight="1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  <x:c r="K199" s="6"/>
      <x:c r="L199" s="6"/>
      <x:c r="M199" s="6"/>
      <x:c r="N199" s="6"/>
      <x:c r="O199" s="6"/>
      <x:c r="P199" s="6"/>
      <x:c r="Q199" s="6"/>
    </x:row>
    <x:row r="200" ht="19" customHeight="1">
      <x:c r="A200" s="6"/>
      <x:c r="B200" s="6"/>
      <x:c r="C200" s="6"/>
      <x:c r="D200" s="6"/>
      <x:c r="E200" s="6"/>
      <x:c r="F200" s="6"/>
      <x:c r="G200" s="6"/>
      <x:c r="H200" s="6"/>
      <x:c r="I200" s="6"/>
      <x:c r="J200" s="6"/>
      <x:c r="K200" s="6"/>
      <x:c r="L200" s="6"/>
      <x:c r="M200" s="6"/>
      <x:c r="N200" s="6"/>
      <x:c r="O200" s="6"/>
      <x:c r="P200" s="6"/>
      <x:c r="Q200" s="6"/>
    </x:row>
    <x:row r="201" ht="19" customHeight="1">
      <x:c r="A201" s="6"/>
      <x:c r="B201" s="6"/>
      <x:c r="C201" s="6"/>
      <x:c r="D201" s="6"/>
      <x:c r="E201" s="6"/>
      <x:c r="F201" s="6"/>
      <x:c r="G201" s="6"/>
      <x:c r="H201" s="6"/>
      <x:c r="I201" s="6"/>
      <x:c r="J201" s="6"/>
      <x:c r="K201" s="6"/>
      <x:c r="L201" s="6"/>
      <x:c r="M201" s="6"/>
      <x:c r="N201" s="6"/>
      <x:c r="O201" s="6"/>
      <x:c r="P201" s="6"/>
      <x:c r="Q201" s="6"/>
    </x:row>
    <x:row r="202" ht="19" customHeight="1">
      <x:c r="A202" s="6"/>
      <x:c r="B202" s="6"/>
      <x:c r="C202" s="6"/>
      <x:c r="D202" s="6"/>
      <x:c r="E202" s="6"/>
      <x:c r="F202" s="6"/>
      <x:c r="G202" s="6"/>
      <x:c r="H202" s="6"/>
      <x:c r="I202" s="6"/>
      <x:c r="J202" s="6"/>
      <x:c r="K202" s="6"/>
      <x:c r="L202" s="6"/>
      <x:c r="M202" s="6"/>
      <x:c r="N202" s="6"/>
      <x:c r="O202" s="6"/>
      <x:c r="P202" s="6"/>
      <x:c r="Q202" s="6"/>
    </x:row>
    <x:row r="203" ht="19" customHeight="1">
      <x:c r="A203" s="6"/>
      <x:c r="B203" s="6"/>
      <x:c r="C203" s="6"/>
      <x:c r="D203" s="6"/>
      <x:c r="E203" s="6"/>
      <x:c r="F203" s="6"/>
      <x:c r="G203" s="6"/>
      <x:c r="H203" s="6"/>
      <x:c r="I203" s="6"/>
      <x:c r="J203" s="6"/>
      <x:c r="K203" s="6"/>
      <x:c r="L203" s="6"/>
      <x:c r="M203" s="6"/>
      <x:c r="N203" s="6"/>
      <x:c r="O203" s="6"/>
      <x:c r="P203" s="6"/>
      <x:c r="Q203" s="6"/>
    </x:row>
    <x:row r="204" ht="19" customHeight="1">
      <x:c r="A204" s="6"/>
      <x:c r="B204" s="6"/>
      <x:c r="C204" s="6"/>
      <x:c r="D204" s="6"/>
      <x:c r="E204" s="6"/>
      <x:c r="F204" s="6"/>
      <x:c r="G204" s="6"/>
      <x:c r="H204" s="6"/>
      <x:c r="I204" s="6"/>
      <x:c r="J204" s="6"/>
      <x:c r="K204" s="6"/>
      <x:c r="L204" s="6"/>
      <x:c r="M204" s="6"/>
      <x:c r="N204" s="6"/>
      <x:c r="O204" s="6"/>
      <x:c r="P204" s="6"/>
      <x:c r="Q204" s="6"/>
    </x:row>
    <x:row r="205" ht="19" customHeight="1">
      <x:c r="A205" s="6"/>
      <x:c r="B205" s="6"/>
      <x:c r="C205" s="6"/>
      <x:c r="D205" s="6"/>
      <x:c r="E205" s="6"/>
      <x:c r="F205" s="6"/>
      <x:c r="G205" s="6"/>
      <x:c r="H205" s="6"/>
      <x:c r="I205" s="6"/>
      <x:c r="J205" s="6"/>
      <x:c r="K205" s="6"/>
      <x:c r="L205" s="6"/>
      <x:c r="M205" s="6"/>
      <x:c r="N205" s="6"/>
      <x:c r="O205" s="6"/>
      <x:c r="P205" s="6"/>
      <x:c r="Q205" s="6"/>
    </x:row>
    <x:row r="206" ht="19" customHeight="1">
      <x:c r="A206" s="6"/>
      <x:c r="B206" s="6"/>
      <x:c r="C206" s="6"/>
      <x:c r="D206" s="6"/>
      <x:c r="E206" s="6"/>
      <x:c r="F206" s="6"/>
      <x:c r="G206" s="6"/>
      <x:c r="H206" s="6"/>
      <x:c r="I206" s="6"/>
      <x:c r="J206" s="6"/>
      <x:c r="K206" s="6"/>
      <x:c r="L206" s="6"/>
      <x:c r="M206" s="6"/>
      <x:c r="N206" s="6"/>
      <x:c r="O206" s="6"/>
      <x:c r="P206" s="6"/>
      <x:c r="Q206" s="6"/>
    </x:row>
    <x:row r="207" ht="19" customHeight="1">
      <x:c r="A207" s="6"/>
      <x:c r="B207" s="6"/>
      <x:c r="C207" s="6"/>
      <x:c r="D207" s="6"/>
      <x:c r="E207" s="6"/>
      <x:c r="F207" s="6"/>
      <x:c r="G207" s="6"/>
      <x:c r="H207" s="6"/>
      <x:c r="I207" s="6"/>
      <x:c r="J207" s="6"/>
      <x:c r="K207" s="6"/>
      <x:c r="L207" s="6"/>
      <x:c r="M207" s="6"/>
      <x:c r="N207" s="6"/>
      <x:c r="O207" s="6"/>
      <x:c r="P207" s="6"/>
      <x:c r="Q207" s="6"/>
    </x:row>
    <x:row r="208" ht="19" customHeight="1">
      <x:c r="A208" s="6"/>
      <x:c r="B208" s="6"/>
      <x:c r="C208" s="6"/>
      <x:c r="D208" s="6"/>
      <x:c r="E208" s="6"/>
      <x:c r="F208" s="6"/>
      <x:c r="G208" s="6"/>
      <x:c r="H208" s="6"/>
      <x:c r="I208" s="6"/>
      <x:c r="J208" s="6"/>
      <x:c r="K208" s="6"/>
      <x:c r="L208" s="6"/>
      <x:c r="M208" s="6"/>
      <x:c r="N208" s="6"/>
      <x:c r="O208" s="6"/>
      <x:c r="P208" s="6"/>
      <x:c r="Q208" s="6"/>
    </x:row>
    <x:row r="209" ht="19" customHeight="1">
      <x:c r="A209" s="6"/>
      <x:c r="B209" s="6"/>
      <x:c r="C209" s="6"/>
      <x:c r="D209" s="6"/>
      <x:c r="E209" s="6"/>
      <x:c r="F209" s="6"/>
      <x:c r="G209" s="6"/>
      <x:c r="H209" s="6"/>
      <x:c r="I209" s="6"/>
      <x:c r="J209" s="6"/>
      <x:c r="K209" s="6"/>
      <x:c r="L209" s="6"/>
      <x:c r="M209" s="6"/>
      <x:c r="N209" s="6"/>
      <x:c r="O209" s="6"/>
      <x:c r="P209" s="6"/>
      <x:c r="Q209" s="6"/>
    </x:row>
    <x:row r="210" ht="19" customHeight="1">
      <x:c r="A210" s="6"/>
      <x:c r="B210" s="6"/>
      <x:c r="C210" s="6"/>
      <x:c r="D210" s="6"/>
      <x:c r="E210" s="6"/>
      <x:c r="F210" s="6"/>
      <x:c r="G210" s="6"/>
      <x:c r="H210" s="6"/>
      <x:c r="I210" s="6"/>
      <x:c r="J210" s="6"/>
      <x:c r="K210" s="6"/>
      <x:c r="L210" s="6"/>
      <x:c r="M210" s="6"/>
      <x:c r="N210" s="6"/>
      <x:c r="O210" s="6"/>
      <x:c r="P210" s="6"/>
      <x:c r="Q210" s="6"/>
    </x:row>
    <x:row r="211" ht="19" customHeight="1">
      <x:c r="A211" s="6"/>
      <x:c r="B211" s="6"/>
      <x:c r="C211" s="6"/>
      <x:c r="D211" s="6"/>
      <x:c r="E211" s="6"/>
      <x:c r="F211" s="6"/>
      <x:c r="G211" s="6"/>
      <x:c r="H211" s="6"/>
      <x:c r="I211" s="6"/>
      <x:c r="J211" s="6"/>
      <x:c r="K211" s="6"/>
      <x:c r="L211" s="6"/>
      <x:c r="M211" s="6"/>
      <x:c r="N211" s="6"/>
      <x:c r="O211" s="6"/>
      <x:c r="P211" s="6"/>
      <x:c r="Q211" s="6"/>
    </x:row>
    <x:row r="212" ht="19" customHeight="1">
      <x:c r="A212" s="6"/>
      <x:c r="B212" s="6"/>
      <x:c r="C212" s="6"/>
      <x:c r="D212" s="6"/>
      <x:c r="E212" s="6"/>
      <x:c r="F212" s="6"/>
      <x:c r="G212" s="6"/>
      <x:c r="H212" s="6"/>
      <x:c r="I212" s="6"/>
      <x:c r="J212" s="6"/>
      <x:c r="K212" s="6"/>
      <x:c r="L212" s="6"/>
      <x:c r="M212" s="6"/>
      <x:c r="N212" s="6"/>
      <x:c r="O212" s="6"/>
      <x:c r="P212" s="6"/>
      <x:c r="Q212" s="6"/>
    </x:row>
    <x:row r="213" ht="19" customHeight="1">
      <x:c r="A213" s="6"/>
      <x:c r="B213" s="6"/>
      <x:c r="C213" s="6"/>
      <x:c r="D213" s="6"/>
      <x:c r="E213" s="6"/>
      <x:c r="F213" s="6"/>
      <x:c r="G213" s="6"/>
      <x:c r="H213" s="6"/>
      <x:c r="I213" s="6"/>
      <x:c r="J213" s="6"/>
      <x:c r="K213" s="6"/>
      <x:c r="L213" s="6"/>
      <x:c r="M213" s="6"/>
      <x:c r="N213" s="6"/>
      <x:c r="O213" s="6"/>
      <x:c r="P213" s="6"/>
      <x:c r="Q213" s="6"/>
    </x:row>
    <x:row r="214" ht="19" customHeight="1">
      <x:c r="A214" s="6"/>
      <x:c r="B214" s="6"/>
      <x:c r="C214" s="6"/>
      <x:c r="D214" s="6"/>
      <x:c r="E214" s="6"/>
      <x:c r="F214" s="6"/>
      <x:c r="G214" s="6"/>
      <x:c r="H214" s="6"/>
      <x:c r="I214" s="6"/>
      <x:c r="J214" s="6"/>
      <x:c r="K214" s="6"/>
      <x:c r="L214" s="6"/>
      <x:c r="M214" s="6"/>
      <x:c r="N214" s="6"/>
      <x:c r="O214" s="6"/>
      <x:c r="P214" s="6"/>
      <x:c r="Q214" s="6"/>
    </x:row>
    <x:row r="215" ht="19" customHeight="1">
      <x:c r="A215" s="6"/>
      <x:c r="B215" s="6"/>
      <x:c r="C215" s="6"/>
      <x:c r="D215" s="6"/>
      <x:c r="E215" s="6"/>
      <x:c r="F215" s="6"/>
      <x:c r="G215" s="6"/>
      <x:c r="H215" s="6"/>
      <x:c r="I215" s="6"/>
      <x:c r="J215" s="6"/>
      <x:c r="K215" s="6"/>
      <x:c r="L215" s="6"/>
      <x:c r="M215" s="6"/>
      <x:c r="N215" s="6"/>
      <x:c r="O215" s="6"/>
      <x:c r="P215" s="6"/>
      <x:c r="Q215" s="6"/>
    </x:row>
    <x:row r="216" ht="19" customHeight="1">
      <x:c r="A216" s="6"/>
      <x:c r="B216" s="6"/>
      <x:c r="C216" s="6"/>
      <x:c r="D216" s="6"/>
      <x:c r="E216" s="6"/>
      <x:c r="F216" s="6"/>
      <x:c r="G216" s="6"/>
      <x:c r="H216" s="6"/>
      <x:c r="I216" s="6"/>
      <x:c r="J216" s="6"/>
      <x:c r="K216" s="6"/>
      <x:c r="L216" s="6"/>
      <x:c r="M216" s="6"/>
      <x:c r="N216" s="6"/>
      <x:c r="O216" s="6"/>
      <x:c r="P216" s="6"/>
      <x:c r="Q216" s="6"/>
    </x:row>
    <x:row r="217" ht="19" customHeight="1">
      <x:c r="A217" s="6"/>
      <x:c r="B217" s="6"/>
      <x:c r="C217" s="6"/>
      <x:c r="D217" s="6"/>
      <x:c r="E217" s="6"/>
      <x:c r="F217" s="6"/>
      <x:c r="G217" s="6"/>
      <x:c r="H217" s="6"/>
      <x:c r="I217" s="6"/>
      <x:c r="J217" s="6"/>
      <x:c r="K217" s="6"/>
      <x:c r="L217" s="6"/>
      <x:c r="M217" s="6"/>
      <x:c r="N217" s="6"/>
      <x:c r="O217" s="6"/>
      <x:c r="P217" s="6"/>
      <x:c r="Q217" s="6"/>
    </x:row>
    <x:row r="218" ht="19" customHeight="1">
      <x:c r="A218" s="6"/>
      <x:c r="B218" s="6"/>
      <x:c r="C218" s="6"/>
      <x:c r="D218" s="6"/>
      <x:c r="E218" s="6"/>
      <x:c r="F218" s="6"/>
      <x:c r="G218" s="6"/>
      <x:c r="H218" s="6"/>
      <x:c r="I218" s="6"/>
      <x:c r="J218" s="6"/>
      <x:c r="K218" s="6"/>
      <x:c r="L218" s="6"/>
      <x:c r="M218" s="6"/>
      <x:c r="N218" s="6"/>
      <x:c r="O218" s="6"/>
      <x:c r="P218" s="6"/>
      <x:c r="Q218" s="6"/>
    </x:row>
    <x:row r="219" ht="19" customHeight="1">
      <x:c r="A219" s="6"/>
      <x:c r="B219" s="6"/>
      <x:c r="C219" s="6"/>
      <x:c r="D219" s="6"/>
      <x:c r="E219" s="6"/>
      <x:c r="F219" s="6"/>
      <x:c r="G219" s="6"/>
      <x:c r="H219" s="6"/>
      <x:c r="I219" s="6"/>
      <x:c r="J219" s="6"/>
      <x:c r="K219" s="6"/>
      <x:c r="L219" s="6"/>
      <x:c r="M219" s="6"/>
      <x:c r="N219" s="6"/>
      <x:c r="O219" s="6"/>
      <x:c r="P219" s="6"/>
      <x:c r="Q219" s="6"/>
    </x:row>
    <x:row r="220" ht="19" customHeight="1">
      <x:c r="A220" s="6"/>
      <x:c r="B220" s="6"/>
      <x:c r="C220" s="6"/>
      <x:c r="D220" s="6"/>
      <x:c r="E220" s="6"/>
      <x:c r="F220" s="6"/>
      <x:c r="G220" s="6"/>
      <x:c r="H220" s="6"/>
      <x:c r="I220" s="6"/>
      <x:c r="J220" s="6"/>
      <x:c r="K220" s="6"/>
      <x:c r="L220" s="6"/>
      <x:c r="M220" s="6"/>
      <x:c r="N220" s="6"/>
      <x:c r="O220" s="6"/>
      <x:c r="P220" s="6"/>
      <x:c r="Q220" s="6"/>
    </x:row>
    <x:row r="221" ht="19" customHeight="1">
      <x:c r="A221" s="6"/>
      <x:c r="B221" s="6"/>
      <x:c r="C221" s="6"/>
      <x:c r="D221" s="6"/>
      <x:c r="E221" s="6"/>
      <x:c r="F221" s="6"/>
      <x:c r="G221" s="6"/>
      <x:c r="H221" s="6"/>
      <x:c r="I221" s="6"/>
      <x:c r="J221" s="6"/>
      <x:c r="K221" s="6"/>
      <x:c r="L221" s="6"/>
      <x:c r="M221" s="6"/>
      <x:c r="N221" s="6"/>
      <x:c r="O221" s="6"/>
      <x:c r="P221" s="6"/>
      <x:c r="Q221" s="6"/>
    </x:row>
    <x:row r="222" ht="19" customHeight="1">
      <x:c r="A222" s="6"/>
      <x:c r="B222" s="6"/>
      <x:c r="C222" s="6"/>
      <x:c r="D222" s="6"/>
      <x:c r="E222" s="6"/>
      <x:c r="F222" s="6"/>
      <x:c r="G222" s="6"/>
      <x:c r="H222" s="6"/>
      <x:c r="I222" s="6"/>
      <x:c r="J222" s="6"/>
      <x:c r="K222" s="6"/>
      <x:c r="L222" s="6"/>
      <x:c r="M222" s="6"/>
      <x:c r="N222" s="6"/>
      <x:c r="O222" s="6"/>
      <x:c r="P222" s="6"/>
      <x:c r="Q222" s="6"/>
    </x:row>
    <x:row r="223" ht="19" customHeight="1">
      <x:c r="A223" s="6"/>
      <x:c r="B223" s="6"/>
      <x:c r="C223" s="6"/>
      <x:c r="D223" s="6"/>
      <x:c r="E223" s="6"/>
      <x:c r="F223" s="6"/>
      <x:c r="G223" s="6"/>
      <x:c r="H223" s="6"/>
      <x:c r="I223" s="6"/>
      <x:c r="J223" s="6"/>
      <x:c r="K223" s="6"/>
      <x:c r="L223" s="6"/>
      <x:c r="M223" s="6"/>
      <x:c r="N223" s="6"/>
      <x:c r="O223" s="6"/>
      <x:c r="P223" s="6"/>
      <x:c r="Q223" s="6"/>
    </x:row>
    <x:row r="224" ht="19" customHeight="1">
      <x:c r="A224" s="6"/>
      <x:c r="B224" s="6"/>
      <x:c r="C224" s="6"/>
      <x:c r="D224" s="6"/>
      <x:c r="E224" s="6"/>
      <x:c r="F224" s="6"/>
      <x:c r="G224" s="6"/>
      <x:c r="H224" s="6"/>
      <x:c r="I224" s="6"/>
      <x:c r="J224" s="6"/>
      <x:c r="K224" s="6"/>
      <x:c r="L224" s="6"/>
      <x:c r="M224" s="6"/>
      <x:c r="N224" s="6"/>
      <x:c r="O224" s="6"/>
      <x:c r="P224" s="6"/>
      <x:c r="Q224" s="6"/>
    </x:row>
    <x:row r="225" ht="19" customHeight="1">
      <x:c r="A225" s="6"/>
      <x:c r="B225" s="6"/>
      <x:c r="C225" s="6"/>
      <x:c r="D225" s="6"/>
      <x:c r="E225" s="6"/>
      <x:c r="F225" s="6"/>
      <x:c r="G225" s="6"/>
      <x:c r="H225" s="6"/>
      <x:c r="I225" s="6"/>
      <x:c r="J225" s="6"/>
      <x:c r="K225" s="6"/>
      <x:c r="L225" s="6"/>
      <x:c r="M225" s="6"/>
      <x:c r="N225" s="6"/>
      <x:c r="O225" s="6"/>
      <x:c r="P225" s="6"/>
      <x:c r="Q225" s="6"/>
    </x:row>
    <x:row r="226" ht="19" customHeight="1">
      <x:c r="A226" s="6"/>
      <x:c r="B226" s="6"/>
      <x:c r="C226" s="6"/>
      <x:c r="D226" s="6"/>
      <x:c r="E226" s="6"/>
      <x:c r="F226" s="6"/>
      <x:c r="G226" s="6"/>
      <x:c r="H226" s="6"/>
      <x:c r="I226" s="6"/>
      <x:c r="J226" s="6"/>
      <x:c r="K226" s="6"/>
      <x:c r="L226" s="6"/>
      <x:c r="M226" s="6"/>
      <x:c r="N226" s="6"/>
      <x:c r="O226" s="6"/>
      <x:c r="P226" s="6"/>
      <x:c r="Q226" s="6"/>
    </x:row>
    <x:row r="227" ht="19" customHeight="1">
      <x:c r="A227" s="6"/>
      <x:c r="B227" s="6"/>
      <x:c r="C227" s="6"/>
      <x:c r="D227" s="6"/>
      <x:c r="E227" s="6"/>
      <x:c r="F227" s="6"/>
      <x:c r="G227" s="6"/>
      <x:c r="H227" s="6"/>
      <x:c r="I227" s="6"/>
      <x:c r="J227" s="6"/>
      <x:c r="K227" s="6"/>
      <x:c r="L227" s="6"/>
      <x:c r="M227" s="6"/>
      <x:c r="N227" s="6"/>
      <x:c r="O227" s="6"/>
      <x:c r="P227" s="6"/>
      <x:c r="Q227" s="6"/>
    </x:row>
    <x:row r="228" ht="19" customHeight="1">
      <x:c r="A228" s="6"/>
      <x:c r="B228" s="6"/>
      <x:c r="C228" s="6"/>
      <x:c r="D228" s="6"/>
      <x:c r="E228" s="6"/>
      <x:c r="F228" s="6"/>
      <x:c r="G228" s="6"/>
      <x:c r="H228" s="6"/>
      <x:c r="I228" s="6"/>
      <x:c r="J228" s="6"/>
      <x:c r="K228" s="6"/>
      <x:c r="L228" s="6"/>
      <x:c r="M228" s="6"/>
      <x:c r="N228" s="6"/>
      <x:c r="O228" s="6"/>
      <x:c r="P228" s="6"/>
      <x:c r="Q228" s="6"/>
    </x:row>
    <x:row r="229" ht="19" customHeight="1">
      <x:c r="A229" s="6"/>
      <x:c r="B229" s="6"/>
      <x:c r="C229" s="6"/>
      <x:c r="D229" s="6"/>
      <x:c r="E229" s="6"/>
      <x:c r="F229" s="6"/>
      <x:c r="G229" s="6"/>
      <x:c r="H229" s="6"/>
      <x:c r="I229" s="6"/>
      <x:c r="J229" s="6"/>
      <x:c r="K229" s="6"/>
      <x:c r="L229" s="6"/>
      <x:c r="M229" s="6"/>
      <x:c r="N229" s="6"/>
      <x:c r="O229" s="6"/>
      <x:c r="P229" s="6"/>
      <x:c r="Q229" s="6"/>
    </x:row>
    <x:row r="230" ht="19" customHeight="1">
      <x:c r="A230" s="6"/>
      <x:c r="B230" s="6"/>
      <x:c r="C230" s="6"/>
      <x:c r="D230" s="6"/>
      <x:c r="E230" s="6"/>
      <x:c r="F230" s="6"/>
      <x:c r="G230" s="6"/>
      <x:c r="H230" s="6"/>
      <x:c r="I230" s="6"/>
      <x:c r="J230" s="6"/>
      <x:c r="K230" s="6"/>
      <x:c r="L230" s="6"/>
      <x:c r="M230" s="6"/>
      <x:c r="N230" s="6"/>
      <x:c r="O230" s="6"/>
      <x:c r="P230" s="6"/>
      <x:c r="Q230" s="6"/>
    </x:row>
    <x:row r="231" ht="19" customHeight="1">
      <x:c r="A231" s="6"/>
      <x:c r="B231" s="6"/>
      <x:c r="C231" s="6"/>
      <x:c r="D231" s="6"/>
      <x:c r="E231" s="6"/>
      <x:c r="F231" s="6"/>
      <x:c r="G231" s="6"/>
      <x:c r="H231" s="6"/>
      <x:c r="I231" s="6"/>
      <x:c r="J231" s="6"/>
      <x:c r="K231" s="6"/>
      <x:c r="L231" s="6"/>
      <x:c r="M231" s="6"/>
      <x:c r="N231" s="6"/>
      <x:c r="O231" s="6"/>
      <x:c r="P231" s="6"/>
      <x:c r="Q231" s="6"/>
    </x:row>
    <x:row r="232" ht="19" customHeight="1">
      <x:c r="A232" s="6"/>
      <x:c r="B232" s="6"/>
      <x:c r="C232" s="6"/>
      <x:c r="D232" s="6"/>
      <x:c r="E232" s="6"/>
      <x:c r="F232" s="6"/>
      <x:c r="G232" s="6"/>
      <x:c r="H232" s="6"/>
      <x:c r="I232" s="6"/>
      <x:c r="J232" s="6"/>
      <x:c r="K232" s="6"/>
      <x:c r="L232" s="6"/>
      <x:c r="M232" s="6"/>
      <x:c r="N232" s="6"/>
      <x:c r="O232" s="6"/>
      <x:c r="P232" s="6"/>
      <x:c r="Q232" s="6"/>
    </x:row>
    <x:row r="233" ht="19" customHeight="1">
      <x:c r="A233" s="6"/>
      <x:c r="B233" s="6"/>
      <x:c r="C233" s="6"/>
      <x:c r="D233" s="6"/>
      <x:c r="E233" s="6"/>
      <x:c r="F233" s="6"/>
      <x:c r="G233" s="6"/>
      <x:c r="H233" s="6"/>
      <x:c r="I233" s="6"/>
      <x:c r="J233" s="6"/>
      <x:c r="K233" s="6"/>
      <x:c r="L233" s="6"/>
      <x:c r="M233" s="6"/>
      <x:c r="N233" s="6"/>
      <x:c r="O233" s="6"/>
      <x:c r="P233" s="6"/>
      <x:c r="Q233" s="6"/>
    </x:row>
    <x:row r="234" ht="19" customHeight="1">
      <x:c r="A234" s="6"/>
      <x:c r="B234" s="6"/>
      <x:c r="C234" s="6"/>
      <x:c r="D234" s="6"/>
      <x:c r="E234" s="6"/>
      <x:c r="F234" s="6"/>
      <x:c r="G234" s="6"/>
      <x:c r="H234" s="6"/>
      <x:c r="I234" s="6"/>
      <x:c r="J234" s="6"/>
      <x:c r="K234" s="6"/>
      <x:c r="L234" s="6"/>
      <x:c r="M234" s="6"/>
      <x:c r="N234" s="6"/>
      <x:c r="O234" s="6"/>
      <x:c r="P234" s="6"/>
      <x:c r="Q234" s="6"/>
    </x:row>
    <x:row r="235" ht="19" customHeight="1">
      <x:c r="A235" s="6"/>
      <x:c r="B235" s="6"/>
      <x:c r="C235" s="6"/>
      <x:c r="D235" s="6"/>
      <x:c r="E235" s="6"/>
      <x:c r="F235" s="6"/>
      <x:c r="G235" s="6"/>
      <x:c r="H235" s="6"/>
      <x:c r="I235" s="6"/>
      <x:c r="J235" s="6"/>
      <x:c r="K235" s="6"/>
      <x:c r="L235" s="6"/>
      <x:c r="M235" s="6"/>
      <x:c r="N235" s="6"/>
      <x:c r="O235" s="6"/>
      <x:c r="P235" s="6"/>
      <x:c r="Q235" s="6"/>
    </x:row>
    <x:row r="236" ht="19" customHeight="1">
      <x:c r="A236" s="6"/>
      <x:c r="B236" s="6"/>
      <x:c r="C236" s="6"/>
      <x:c r="D236" s="6"/>
      <x:c r="E236" s="6"/>
      <x:c r="F236" s="6"/>
      <x:c r="G236" s="6"/>
      <x:c r="H236" s="6"/>
      <x:c r="I236" s="6"/>
      <x:c r="J236" s="6"/>
      <x:c r="K236" s="6"/>
      <x:c r="L236" s="6"/>
      <x:c r="M236" s="6"/>
      <x:c r="N236" s="6"/>
      <x:c r="O236" s="6"/>
      <x:c r="P236" s="6"/>
      <x:c r="Q236" s="6"/>
    </x:row>
    <x:row r="237" ht="19" customHeight="1">
      <x:c r="A237" s="6"/>
      <x:c r="B237" s="6"/>
      <x:c r="C237" s="6"/>
      <x:c r="D237" s="6"/>
      <x:c r="E237" s="6"/>
      <x:c r="F237" s="6"/>
      <x:c r="G237" s="6"/>
      <x:c r="H237" s="6"/>
      <x:c r="I237" s="6"/>
      <x:c r="J237" s="6"/>
      <x:c r="K237" s="6"/>
      <x:c r="L237" s="6"/>
      <x:c r="M237" s="6"/>
      <x:c r="N237" s="6"/>
      <x:c r="O237" s="6"/>
      <x:c r="P237" s="6"/>
      <x:c r="Q237" s="6"/>
    </x:row>
    <x:row r="238" ht="19" customHeight="1">
      <x:c r="A238" s="6"/>
      <x:c r="B238" s="6"/>
      <x:c r="C238" s="6"/>
      <x:c r="D238" s="6"/>
      <x:c r="E238" s="6"/>
      <x:c r="F238" s="6"/>
      <x:c r="G238" s="6"/>
      <x:c r="H238" s="6"/>
      <x:c r="I238" s="6"/>
      <x:c r="J238" s="6"/>
      <x:c r="K238" s="6"/>
      <x:c r="L238" s="6"/>
      <x:c r="M238" s="6"/>
      <x:c r="N238" s="6"/>
      <x:c r="O238" s="6"/>
      <x:c r="P238" s="6"/>
      <x:c r="Q238" s="6"/>
    </x:row>
    <x:row r="239" ht="19" customHeight="1">
      <x:c r="A239" s="6"/>
      <x:c r="B239" s="6"/>
      <x:c r="C239" s="6"/>
      <x:c r="D239" s="6"/>
      <x:c r="E239" s="6"/>
      <x:c r="F239" s="6"/>
      <x:c r="G239" s="6"/>
      <x:c r="H239" s="6"/>
      <x:c r="I239" s="6"/>
      <x:c r="J239" s="6"/>
      <x:c r="K239" s="6"/>
      <x:c r="L239" s="6"/>
      <x:c r="M239" s="6"/>
      <x:c r="N239" s="6"/>
      <x:c r="O239" s="6"/>
      <x:c r="P239" s="6"/>
      <x:c r="Q239" s="6"/>
    </x:row>
    <x:row r="240" ht="19" customHeight="1">
      <x:c r="A240" s="6"/>
      <x:c r="B240" s="6"/>
      <x:c r="C240" s="6"/>
      <x:c r="D240" s="6"/>
      <x:c r="E240" s="6"/>
      <x:c r="F240" s="6"/>
      <x:c r="G240" s="6"/>
      <x:c r="H240" s="6"/>
      <x:c r="I240" s="6"/>
      <x:c r="J240" s="6"/>
      <x:c r="K240" s="6"/>
      <x:c r="L240" s="6"/>
      <x:c r="M240" s="6"/>
      <x:c r="N240" s="6"/>
      <x:c r="O240" s="6"/>
      <x:c r="P240" s="6"/>
      <x:c r="Q240" s="6"/>
    </x:row>
    <x:row r="241" ht="19" customHeight="1">
      <x:c r="A241" s="6"/>
      <x:c r="B241" s="6"/>
      <x:c r="C241" s="6"/>
      <x:c r="D241" s="6"/>
      <x:c r="E241" s="6"/>
      <x:c r="F241" s="6"/>
      <x:c r="G241" s="6"/>
      <x:c r="H241" s="6"/>
      <x:c r="I241" s="6"/>
      <x:c r="J241" s="6"/>
      <x:c r="K241" s="6"/>
      <x:c r="L241" s="6"/>
      <x:c r="M241" s="6"/>
      <x:c r="N241" s="6"/>
      <x:c r="O241" s="6"/>
      <x:c r="P241" s="6"/>
      <x:c r="Q241" s="6"/>
    </x:row>
    <x:row r="242" ht="19" customHeight="1">
      <x:c r="A242" s="6"/>
      <x:c r="B242" s="6"/>
      <x:c r="C242" s="6"/>
      <x:c r="D242" s="6"/>
      <x:c r="E242" s="6"/>
      <x:c r="F242" s="6"/>
      <x:c r="G242" s="6"/>
      <x:c r="H242" s="6"/>
      <x:c r="I242" s="6"/>
      <x:c r="J242" s="6"/>
      <x:c r="K242" s="6"/>
      <x:c r="L242" s="6"/>
      <x:c r="M242" s="6"/>
      <x:c r="N242" s="6"/>
      <x:c r="O242" s="6"/>
      <x:c r="P242" s="6"/>
      <x:c r="Q242" s="6"/>
    </x:row>
    <x:row r="243" ht="19" customHeight="1">
      <x:c r="A243" s="6"/>
      <x:c r="B243" s="6"/>
      <x:c r="C243" s="6"/>
      <x:c r="D243" s="6"/>
      <x:c r="E243" s="6"/>
      <x:c r="F243" s="6"/>
      <x:c r="G243" s="6"/>
      <x:c r="H243" s="6"/>
      <x:c r="I243" s="6"/>
      <x:c r="J243" s="6"/>
      <x:c r="K243" s="6"/>
      <x:c r="L243" s="6"/>
      <x:c r="M243" s="6"/>
      <x:c r="N243" s="6"/>
      <x:c r="O243" s="6"/>
      <x:c r="P243" s="6"/>
      <x:c r="Q243" s="6"/>
    </x:row>
    <x:row r="244" ht="19" customHeight="1">
      <x:c r="A244" s="6"/>
      <x:c r="B244" s="6"/>
      <x:c r="C244" s="6"/>
      <x:c r="D244" s="6"/>
      <x:c r="E244" s="6"/>
      <x:c r="F244" s="6"/>
      <x:c r="G244" s="6"/>
      <x:c r="H244" s="6"/>
      <x:c r="I244" s="6"/>
      <x:c r="J244" s="6"/>
      <x:c r="K244" s="6"/>
      <x:c r="L244" s="6"/>
      <x:c r="M244" s="6"/>
      <x:c r="N244" s="6"/>
      <x:c r="O244" s="6"/>
      <x:c r="P244" s="6"/>
      <x:c r="Q244" s="6"/>
    </x:row>
    <x:row r="245" ht="19" customHeight="1">
      <x:c r="A245" s="6"/>
      <x:c r="B245" s="6"/>
      <x:c r="C245" s="6"/>
      <x:c r="D245" s="6"/>
      <x:c r="E245" s="6"/>
      <x:c r="F245" s="6"/>
      <x:c r="G245" s="6"/>
      <x:c r="H245" s="6"/>
      <x:c r="I245" s="6"/>
      <x:c r="J245" s="6"/>
      <x:c r="K245" s="6"/>
      <x:c r="L245" s="6"/>
      <x:c r="M245" s="6"/>
      <x:c r="N245" s="6"/>
      <x:c r="O245" s="6"/>
      <x:c r="P245" s="6"/>
      <x:c r="Q245" s="6"/>
    </x:row>
    <x:row r="246" ht="19" customHeight="1">
      <x:c r="A246" s="6"/>
      <x:c r="B246" s="6"/>
      <x:c r="C246" s="6"/>
      <x:c r="D246" s="6"/>
      <x:c r="E246" s="6"/>
      <x:c r="F246" s="6"/>
      <x:c r="G246" s="6"/>
      <x:c r="H246" s="6"/>
      <x:c r="I246" s="6"/>
      <x:c r="J246" s="6"/>
      <x:c r="K246" s="6"/>
      <x:c r="L246" s="6"/>
      <x:c r="M246" s="6"/>
      <x:c r="N246" s="6"/>
      <x:c r="O246" s="6"/>
      <x:c r="P246" s="6"/>
      <x:c r="Q246" s="6"/>
    </x:row>
    <x:row r="247" ht="19" customHeight="1">
      <x:c r="A247" s="6"/>
      <x:c r="B247" s="6"/>
      <x:c r="C247" s="6"/>
      <x:c r="D247" s="6"/>
      <x:c r="E247" s="6"/>
      <x:c r="F247" s="6"/>
      <x:c r="G247" s="6"/>
      <x:c r="H247" s="6"/>
      <x:c r="I247" s="6"/>
      <x:c r="J247" s="6"/>
      <x:c r="K247" s="6"/>
      <x:c r="L247" s="6"/>
      <x:c r="M247" s="6"/>
      <x:c r="N247" s="6"/>
      <x:c r="O247" s="6"/>
      <x:c r="P247" s="6"/>
      <x:c r="Q247" s="6"/>
    </x:row>
    <x:row r="248" ht="19" customHeight="1">
      <x:c r="A248" s="6"/>
      <x:c r="B248" s="6"/>
      <x:c r="C248" s="6"/>
      <x:c r="D248" s="6"/>
      <x:c r="E248" s="6"/>
      <x:c r="F248" s="6"/>
      <x:c r="G248" s="6"/>
      <x:c r="H248" s="6"/>
      <x:c r="I248" s="6"/>
      <x:c r="J248" s="6"/>
      <x:c r="K248" s="6"/>
      <x:c r="L248" s="6"/>
      <x:c r="M248" s="6"/>
      <x:c r="N248" s="6"/>
      <x:c r="O248" s="6"/>
      <x:c r="P248" s="6"/>
      <x:c r="Q248" s="6"/>
    </x:row>
    <x:row r="249" ht="19" customHeight="1">
      <x:c r="A249" s="6"/>
      <x:c r="B249" s="6"/>
      <x:c r="C249" s="6"/>
      <x:c r="D249" s="6"/>
      <x:c r="E249" s="6"/>
      <x:c r="F249" s="6"/>
      <x:c r="G249" s="6"/>
      <x:c r="H249" s="6"/>
      <x:c r="I249" s="6"/>
      <x:c r="J249" s="6"/>
      <x:c r="K249" s="6"/>
      <x:c r="L249" s="6"/>
      <x:c r="M249" s="6"/>
      <x:c r="N249" s="6"/>
      <x:c r="O249" s="6"/>
      <x:c r="P249" s="6"/>
      <x:c r="Q249" s="6"/>
    </x:row>
    <x:row r="250" ht="19" customHeight="1">
      <x:c r="A250" s="6"/>
      <x:c r="B250" s="6"/>
      <x:c r="C250" s="6"/>
      <x:c r="D250" s="6"/>
      <x:c r="E250" s="6"/>
      <x:c r="F250" s="6"/>
      <x:c r="G250" s="6"/>
      <x:c r="H250" s="6"/>
      <x:c r="I250" s="6"/>
      <x:c r="J250" s="6"/>
      <x:c r="K250" s="6"/>
      <x:c r="L250" s="6"/>
      <x:c r="M250" s="6"/>
      <x:c r="N250" s="6"/>
      <x:c r="O250" s="6"/>
      <x:c r="P250" s="6"/>
      <x:c r="Q250" s="6"/>
    </x:row>
    <x:row r="251" ht="19" customHeight="1">
      <x:c r="A251" s="6"/>
      <x:c r="B251" s="6"/>
      <x:c r="C251" s="6"/>
      <x:c r="D251" s="6"/>
      <x:c r="E251" s="6"/>
      <x:c r="F251" s="6"/>
      <x:c r="G251" s="6"/>
      <x:c r="H251" s="6"/>
      <x:c r="I251" s="6"/>
      <x:c r="J251" s="6"/>
      <x:c r="K251" s="6"/>
      <x:c r="L251" s="6"/>
      <x:c r="M251" s="6"/>
      <x:c r="N251" s="6"/>
      <x:c r="O251" s="6"/>
      <x:c r="P251" s="6"/>
      <x:c r="Q251" s="6"/>
    </x:row>
    <x:row r="252" ht="19" customHeight="1">
      <x:c r="A252" s="6"/>
      <x:c r="B252" s="6"/>
      <x:c r="C252" s="6"/>
      <x:c r="D252" s="6"/>
      <x:c r="E252" s="6"/>
      <x:c r="F252" s="6"/>
      <x:c r="G252" s="6"/>
      <x:c r="H252" s="6"/>
      <x:c r="I252" s="6"/>
      <x:c r="J252" s="6"/>
      <x:c r="K252" s="6"/>
      <x:c r="L252" s="6"/>
      <x:c r="M252" s="6"/>
      <x:c r="N252" s="6"/>
      <x:c r="O252" s="6"/>
      <x:c r="P252" s="6"/>
      <x:c r="Q252" s="6"/>
    </x:row>
    <x:row r="253" ht="19" customHeight="1">
      <x:c r="A253" s="6"/>
      <x:c r="B253" s="6"/>
      <x:c r="C253" s="6"/>
      <x:c r="D253" s="6"/>
      <x:c r="E253" s="6"/>
      <x:c r="F253" s="6"/>
      <x:c r="G253" s="6"/>
      <x:c r="H253" s="6"/>
      <x:c r="I253" s="6"/>
      <x:c r="J253" s="6"/>
      <x:c r="K253" s="6"/>
      <x:c r="L253" s="6"/>
      <x:c r="M253" s="6"/>
      <x:c r="N253" s="6"/>
      <x:c r="O253" s="6"/>
      <x:c r="P253" s="6"/>
      <x:c r="Q253" s="6"/>
    </x:row>
    <x:row r="254" ht="19" customHeight="1">
      <x:c r="A254" s="6"/>
      <x:c r="B254" s="6"/>
      <x:c r="C254" s="6"/>
      <x:c r="D254" s="6"/>
      <x:c r="E254" s="6"/>
      <x:c r="F254" s="6"/>
      <x:c r="G254" s="6"/>
      <x:c r="H254" s="6"/>
      <x:c r="I254" s="6"/>
      <x:c r="J254" s="6"/>
      <x:c r="K254" s="6"/>
      <x:c r="L254" s="6"/>
      <x:c r="M254" s="6"/>
      <x:c r="N254" s="6"/>
      <x:c r="O254" s="6"/>
      <x:c r="P254" s="6"/>
      <x:c r="Q254" s="6"/>
    </x:row>
    <x:row r="255" ht="19" customHeight="1">
      <x:c r="A255" s="6"/>
      <x:c r="B255" s="6"/>
      <x:c r="C255" s="6"/>
      <x:c r="D255" s="6"/>
      <x:c r="E255" s="6"/>
      <x:c r="F255" s="6"/>
      <x:c r="G255" s="6"/>
      <x:c r="H255" s="6"/>
      <x:c r="I255" s="6"/>
      <x:c r="J255" s="6"/>
      <x:c r="K255" s="6"/>
      <x:c r="L255" s="6"/>
      <x:c r="M255" s="6"/>
      <x:c r="N255" s="6"/>
      <x:c r="O255" s="6"/>
      <x:c r="P255" s="6"/>
      <x:c r="Q255" s="6"/>
    </x:row>
    <x:row r="256" ht="19" customHeight="1">
      <x:c r="A256" s="6"/>
      <x:c r="B256" s="6"/>
      <x:c r="C256" s="6"/>
      <x:c r="D256" s="6"/>
      <x:c r="E256" s="6"/>
      <x:c r="F256" s="6"/>
      <x:c r="G256" s="6"/>
      <x:c r="H256" s="6"/>
      <x:c r="I256" s="6"/>
      <x:c r="J256" s="6"/>
      <x:c r="K256" s="6"/>
      <x:c r="L256" s="6"/>
      <x:c r="M256" s="6"/>
      <x:c r="N256" s="6"/>
      <x:c r="O256" s="6"/>
      <x:c r="P256" s="6"/>
      <x:c r="Q256" s="6"/>
    </x:row>
    <x:row r="257" ht="19" customHeight="1">
      <x:c r="A257" s="6"/>
      <x:c r="B257" s="6"/>
      <x:c r="C257" s="6"/>
      <x:c r="D257" s="6"/>
      <x:c r="E257" s="6"/>
      <x:c r="F257" s="6"/>
      <x:c r="G257" s="6"/>
      <x:c r="H257" s="6"/>
      <x:c r="I257" s="6"/>
      <x:c r="J257" s="6"/>
      <x:c r="K257" s="6"/>
      <x:c r="L257" s="6"/>
      <x:c r="M257" s="6"/>
      <x:c r="N257" s="6"/>
      <x:c r="O257" s="6"/>
      <x:c r="P257" s="6"/>
      <x:c r="Q257" s="6"/>
    </x:row>
    <x:row r="258" ht="19" customHeight="1">
      <x:c r="A258" s="6"/>
      <x:c r="B258" s="6"/>
      <x:c r="C258" s="6"/>
      <x:c r="D258" s="6"/>
      <x:c r="E258" s="6"/>
      <x:c r="F258" s="6"/>
      <x:c r="G258" s="6"/>
      <x:c r="H258" s="6"/>
      <x:c r="I258" s="6"/>
      <x:c r="J258" s="6"/>
      <x:c r="K258" s="6"/>
      <x:c r="L258" s="6"/>
      <x:c r="M258" s="6"/>
      <x:c r="N258" s="6"/>
      <x:c r="O258" s="6"/>
      <x:c r="P258" s="6"/>
      <x:c r="Q258" s="6"/>
    </x:row>
    <x:row r="259" ht="19" customHeight="1">
      <x:c r="A259" s="6"/>
      <x:c r="B259" s="6"/>
      <x:c r="C259" s="6"/>
      <x:c r="D259" s="6"/>
      <x:c r="E259" s="6"/>
      <x:c r="F259" s="6"/>
      <x:c r="G259" s="6"/>
      <x:c r="H259" s="6"/>
      <x:c r="I259" s="6"/>
      <x:c r="J259" s="6"/>
      <x:c r="K259" s="6"/>
      <x:c r="L259" s="6"/>
      <x:c r="M259" s="6"/>
      <x:c r="N259" s="6"/>
      <x:c r="O259" s="6"/>
      <x:c r="P259" s="6"/>
      <x:c r="Q259" s="6"/>
    </x:row>
    <x:row r="260" ht="19" customHeight="1">
      <x:c r="A260" s="6"/>
      <x:c r="B260" s="6"/>
      <x:c r="C260" s="6"/>
      <x:c r="D260" s="6"/>
      <x:c r="E260" s="6"/>
      <x:c r="F260" s="6"/>
      <x:c r="G260" s="6"/>
      <x:c r="H260" s="6"/>
      <x:c r="I260" s="6"/>
      <x:c r="J260" s="6"/>
      <x:c r="K260" s="6"/>
      <x:c r="L260" s="6"/>
      <x:c r="M260" s="6"/>
      <x:c r="N260" s="6"/>
      <x:c r="O260" s="6"/>
      <x:c r="P260" s="6"/>
      <x:c r="Q260" s="6"/>
    </x:row>
  </x:sheetData>
  <x:mergeCells>
    <x:mergeCell ref="A1:E2"/>
    <x:mergeCell ref="A3:E3"/>
    <x:mergeCell ref="A13:D13"/>
    <x:mergeCell ref="A14:D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3" hidden="0" customWidth="1"/>
    <x:col min="3" max="3" width="12" hidden="0" customWidth="1"/>
    <x:col min="4" max="4" width="24" hidden="0" customWidth="1"/>
    <x:col min="5" max="5" width="60" hidden="0" customWidth="1"/>
  </x:cols>
  <x:sheetData>
    <x:row r="1" ht="24" customHeight="1">
      <x:c r="A1" s="10" t="str">
        <x:v>Четыре концепции — по 12 Use Cases</x:v>
      </x:c>
      <x:c r="B1" s="10"/>
      <x:c r="C1" s="10"/>
      <x:c r="D1" s="10"/>
      <x:c r="E1" s="10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</x:row>
    <x:row r="2" ht="24" customHeight="1">
      <x:c r="A2" s="10"/>
      <x:c r="B2" s="10"/>
      <x:c r="C2" s="10"/>
      <x:c r="D2" s="10"/>
      <x:c r="E2" s="10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</x:row>
    <x:row r="3" ht="19" customHeight="1">
      <x:c r="A3" s="6" t="str">
        <x:v>48 проверяемых сценариев — не более 15 на концепцию; все без внешних интеграций.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</x:row>
    <x:row r="4" ht="19" customHeight="1">
      <x:c r="A4" s="6"/>
      <x:c r="B4" s="6"/>
      <x:c r="C4" s="6"/>
      <x:c r="D4" s="6"/>
      <x:c r="E4" s="6"/>
      <x:c r="F4" s="6"/>
      <x:c r="G4" s="6"/>
      <x:c r="H4" s="6"/>
      <x:c r="I4" s="6"/>
      <x:c r="J4" s="6"/>
      <x:c r="K4" s="6"/>
      <x:c r="L4" s="6"/>
      <x:c r="M4" s="6"/>
      <x:c r="N4" s="6"/>
      <x:c r="O4" s="6"/>
      <x:c r="P4" s="6"/>
      <x:c r="Q4" s="6"/>
    </x:row>
    <x:row r="5" ht="30" customHeight="1">
      <x:c r="A5" s="17" t="str">
        <x:v>Код</x:v>
      </x:c>
      <x:c r="B5" s="17" t="str">
        <x:v>Концепция</x:v>
      </x:c>
      <x:c r="C5" s="17" t="str">
        <x:v>Use Case</x:v>
      </x:c>
      <x:c r="D5" s="17" t="str">
        <x:v>Основной актор</x:v>
      </x:c>
      <x:c r="E5" s="17" t="str">
        <x:v>Краткий сценарий</x:v>
      </x:c>
      <x:c r="F5" s="6"/>
      <x:c r="G5" s="6"/>
      <x:c r="H5" s="6"/>
      <x:c r="I5" s="6"/>
      <x:c r="J5" s="6"/>
      <x:c r="K5" s="6"/>
      <x:c r="L5" s="6"/>
      <x:c r="M5" s="6"/>
      <x:c r="N5" s="6"/>
      <x:c r="O5" s="6"/>
      <x:c r="P5" s="6"/>
      <x:c r="Q5" s="6"/>
    </x:row>
    <x:row r="6" ht="26" customHeight="1">
      <x:c r="A6" s="24" t="str">
        <x:v>A1</x:v>
      </x:c>
      <x:c r="B6" s="24" t="str">
        <x:v>StudyFlow</x:v>
      </x:c>
      <x:c r="C6" s="24" t="str">
        <x:v>UC-01</x:v>
      </x:c>
      <x:c r="D6" s="28" t="str">
        <x:v>Студент</x:v>
      </x:c>
      <x:c r="E6" s="28" t="str">
        <x:v>Войти в личный кабинет</x:v>
      </x:c>
      <x:c r="F6" s="6"/>
      <x:c r="G6" s="6"/>
      <x:c r="H6" s="6"/>
      <x:c r="I6" s="6"/>
      <x:c r="J6" s="6"/>
      <x:c r="K6" s="6"/>
      <x:c r="L6" s="6"/>
      <x:c r="M6" s="6"/>
      <x:c r="N6" s="6"/>
      <x:c r="O6" s="6"/>
      <x:c r="P6" s="6"/>
      <x:c r="Q6" s="6"/>
    </x:row>
    <x:row r="7" ht="26" customHeight="1">
      <x:c r="A7" s="6" t="str">
        <x:v>A1</x:v>
      </x:c>
      <x:c r="B7" s="6" t="str">
        <x:v>StudyFlow</x:v>
      </x:c>
      <x:c r="C7" s="6" t="str">
        <x:v>UC-02</x:v>
      </x:c>
      <x:c r="D7" s="22" t="str">
        <x:v>Студент</x:v>
      </x:c>
      <x:c r="E7" s="22" t="str">
        <x:v>Создать учебную команду</x:v>
      </x:c>
      <x:c r="F7" s="6"/>
      <x:c r="G7" s="6"/>
      <x:c r="H7" s="6"/>
      <x:c r="I7" s="6"/>
      <x:c r="J7" s="6"/>
      <x:c r="K7" s="6"/>
      <x:c r="L7" s="6"/>
      <x:c r="M7" s="6"/>
      <x:c r="N7" s="6"/>
      <x:c r="O7" s="6"/>
      <x:c r="P7" s="6"/>
      <x:c r="Q7" s="6"/>
    </x:row>
    <x:row r="8" ht="26" customHeight="1">
      <x:c r="A8" s="6" t="str">
        <x:v>A1</x:v>
      </x:c>
      <x:c r="B8" s="6" t="str">
        <x:v>StudyFlow</x:v>
      </x:c>
      <x:c r="C8" s="6" t="str">
        <x:v>UC-03</x:v>
      </x:c>
      <x:c r="D8" s="22" t="str">
        <x:v>Студент</x:v>
      </x:c>
      <x:c r="E8" s="22" t="str">
        <x:v>Пригласить участника в команду</x:v>
      </x:c>
      <x:c r="F8" s="6"/>
      <x:c r="G8" s="6"/>
      <x:c r="H8" s="6"/>
      <x:c r="I8" s="6"/>
      <x:c r="J8" s="6"/>
      <x:c r="K8" s="6"/>
      <x:c r="L8" s="6"/>
      <x:c r="M8" s="6"/>
      <x:c r="N8" s="6"/>
      <x:c r="O8" s="6"/>
      <x:c r="P8" s="6"/>
      <x:c r="Q8" s="6"/>
    </x:row>
    <x:row r="9" ht="26" customHeight="1">
      <x:c r="A9" s="6" t="str">
        <x:v>A1</x:v>
      </x:c>
      <x:c r="B9" s="6" t="str">
        <x:v>StudyFlow</x:v>
      </x:c>
      <x:c r="C9" s="6" t="str">
        <x:v>UC-04</x:v>
      </x:c>
      <x:c r="D9" s="22" t="str">
        <x:v>Участник команды</x:v>
      </x:c>
      <x:c r="E9" s="22" t="str">
        <x:v>Создать проект</x:v>
      </x:c>
      <x:c r="F9" s="6"/>
      <x:c r="G9" s="6"/>
      <x:c r="H9" s="6"/>
      <x:c r="I9" s="6"/>
      <x:c r="J9" s="6"/>
      <x:c r="K9" s="6"/>
      <x:c r="L9" s="6"/>
      <x:c r="M9" s="6"/>
      <x:c r="N9" s="6"/>
      <x:c r="O9" s="6"/>
      <x:c r="P9" s="6"/>
      <x:c r="Q9" s="6"/>
    </x:row>
    <x:row r="10" ht="26" customHeight="1">
      <x:c r="A10" s="6" t="str">
        <x:v>A1</x:v>
      </x:c>
      <x:c r="B10" s="6" t="str">
        <x:v>StudyFlow</x:v>
      </x:c>
      <x:c r="C10" s="6" t="str">
        <x:v>UC-05</x:v>
      </x:c>
      <x:c r="D10" s="22" t="str">
        <x:v>Участник команды</x:v>
      </x:c>
      <x:c r="E10" s="22" t="str">
        <x:v>Добавить задачу</x:v>
      </x:c>
      <x:c r="F10" s="6"/>
      <x:c r="G10" s="6"/>
      <x:c r="H10" s="6"/>
      <x:c r="I10" s="6"/>
      <x:c r="J10" s="6"/>
      <x:c r="K10" s="6"/>
      <x:c r="L10" s="6"/>
      <x:c r="M10" s="6"/>
      <x:c r="N10" s="6"/>
      <x:c r="O10" s="6"/>
      <x:c r="P10" s="6"/>
      <x:c r="Q10" s="6"/>
    </x:row>
    <x:row r="11" ht="26" customHeight="1">
      <x:c r="A11" s="6" t="str">
        <x:v>A1</x:v>
      </x:c>
      <x:c r="B11" s="6" t="str">
        <x:v>StudyFlow</x:v>
      </x:c>
      <x:c r="C11" s="6" t="str">
        <x:v>UC-06</x:v>
      </x:c>
      <x:c r="D11" s="22" t="str">
        <x:v>Участник команды</x:v>
      </x:c>
      <x:c r="E11" s="22" t="str">
        <x:v>Назначить исполнителя задачи</x:v>
      </x:c>
      <x:c r="F11" s="6"/>
      <x:c r="G11" s="6"/>
      <x:c r="H11" s="6"/>
      <x:c r="I11" s="6"/>
      <x:c r="J11" s="6"/>
      <x:c r="K11" s="6"/>
      <x:c r="L11" s="6"/>
      <x:c r="M11" s="6"/>
      <x:c r="N11" s="6"/>
      <x:c r="O11" s="6"/>
      <x:c r="P11" s="6"/>
      <x:c r="Q11" s="6"/>
    </x:row>
    <x:row r="12" ht="26" customHeight="1">
      <x:c r="A12" s="6" t="str">
        <x:v>A1</x:v>
      </x:c>
      <x:c r="B12" s="6" t="str">
        <x:v>StudyFlow</x:v>
      </x:c>
      <x:c r="C12" s="6" t="str">
        <x:v>UC-07</x:v>
      </x:c>
      <x:c r="D12" s="22" t="str">
        <x:v>Участник команды</x:v>
      </x:c>
      <x:c r="E12" s="22" t="str">
        <x:v>Установить срок задачи</x:v>
      </x:c>
      <x:c r="F12" s="6"/>
      <x:c r="G12" s="6"/>
      <x:c r="H12" s="6"/>
      <x:c r="I12" s="6"/>
      <x:c r="J12" s="6"/>
      <x:c r="K12" s="6"/>
      <x:c r="L12" s="6"/>
      <x:c r="M12" s="6"/>
      <x:c r="N12" s="6"/>
      <x:c r="O12" s="6"/>
      <x:c r="P12" s="6"/>
      <x:c r="Q12" s="6"/>
    </x:row>
    <x:row r="13" ht="26" customHeight="1">
      <x:c r="A13" s="6" t="str">
        <x:v>A1</x:v>
      </x:c>
      <x:c r="B13" s="6" t="str">
        <x:v>StudyFlow</x:v>
      </x:c>
      <x:c r="C13" s="6" t="str">
        <x:v>UC-08</x:v>
      </x:c>
      <x:c r="D13" s="22" t="str">
        <x:v>Исполнитель</x:v>
      </x:c>
      <x:c r="E13" s="22" t="str">
        <x:v>Изменить статус задачи</x:v>
      </x:c>
      <x:c r="F13" s="6"/>
      <x:c r="G13" s="6"/>
      <x:c r="H13" s="6"/>
      <x:c r="I13" s="6"/>
      <x:c r="J13" s="6"/>
      <x:c r="K13" s="6"/>
      <x:c r="L13" s="6"/>
      <x:c r="M13" s="6"/>
      <x:c r="N13" s="6"/>
      <x:c r="O13" s="6"/>
      <x:c r="P13" s="6"/>
      <x:c r="Q13" s="6"/>
    </x:row>
    <x:row r="14" ht="26" customHeight="1">
      <x:c r="A14" s="6" t="str">
        <x:v>A1</x:v>
      </x:c>
      <x:c r="B14" s="6" t="str">
        <x:v>StudyFlow</x:v>
      </x:c>
      <x:c r="C14" s="6" t="str">
        <x:v>UC-09</x:v>
      </x:c>
      <x:c r="D14" s="22" t="str">
        <x:v>Участник команды</x:v>
      </x:c>
      <x:c r="E14" s="22" t="str">
        <x:v>Оставить комментарий к задаче</x:v>
      </x:c>
      <x:c r="F14" s="6"/>
      <x:c r="G14" s="6"/>
      <x:c r="H14" s="6"/>
      <x:c r="I14" s="6"/>
      <x:c r="J14" s="6"/>
      <x:c r="K14" s="6"/>
      <x:c r="L14" s="6"/>
      <x:c r="M14" s="6"/>
      <x:c r="N14" s="6"/>
      <x:c r="O14" s="6"/>
      <x:c r="P14" s="6"/>
      <x:c r="Q14" s="6"/>
    </x:row>
    <x:row r="15" ht="26" customHeight="1">
      <x:c r="A15" s="6" t="str">
        <x:v>A1</x:v>
      </x:c>
      <x:c r="B15" s="6" t="str">
        <x:v>StudyFlow</x:v>
      </x:c>
      <x:c r="C15" s="6" t="str">
        <x:v>UC-10</x:v>
      </x:c>
      <x:c r="D15" s="22" t="str">
        <x:v>Участник команды</x:v>
      </x:c>
      <x:c r="E15" s="22" t="str">
        <x:v>Отфильтровать задачи по статусу</x:v>
      </x:c>
      <x:c r="F15" s="6"/>
      <x:c r="G15" s="6"/>
      <x:c r="H15" s="6"/>
      <x:c r="I15" s="6"/>
      <x:c r="J15" s="6"/>
      <x:c r="K15" s="6"/>
      <x:c r="L15" s="6"/>
      <x:c r="M15" s="6"/>
      <x:c r="N15" s="6"/>
      <x:c r="O15" s="6"/>
      <x:c r="P15" s="6"/>
      <x:c r="Q15" s="6"/>
    </x:row>
    <x:row r="16" ht="26" customHeight="1">
      <x:c r="A16" s="6" t="str">
        <x:v>A1</x:v>
      </x:c>
      <x:c r="B16" s="6" t="str">
        <x:v>StudyFlow</x:v>
      </x:c>
      <x:c r="C16" s="6" t="str">
        <x:v>UC-11</x:v>
      </x:c>
      <x:c r="D16" s="22" t="str">
        <x:v>Участник команды</x:v>
      </x:c>
      <x:c r="E16" s="22" t="str">
        <x:v>Просмотреть задачи на календаре</x:v>
      </x:c>
      <x:c r="F16" s="6"/>
      <x:c r="G16" s="6"/>
      <x:c r="H16" s="6"/>
      <x:c r="I16" s="6"/>
      <x:c r="J16" s="6"/>
      <x:c r="K16" s="6"/>
      <x:c r="L16" s="6"/>
      <x:c r="M16" s="6"/>
      <x:c r="N16" s="6"/>
      <x:c r="O16" s="6"/>
      <x:c r="P16" s="6"/>
      <x:c r="Q16" s="6"/>
    </x:row>
    <x:row r="17" ht="26" customHeight="1">
      <x:c r="A17" s="6" t="str">
        <x:v>A1</x:v>
      </x:c>
      <x:c r="B17" s="6" t="str">
        <x:v>StudyFlow</x:v>
      </x:c>
      <x:c r="C17" s="6" t="str">
        <x:v>UC-12</x:v>
      </x:c>
      <x:c r="D17" s="22" t="str">
        <x:v>Участник команды</x:v>
      </x:c>
      <x:c r="E17" s="22" t="str">
        <x:v>Просмотреть сводку прогресса проекта</x:v>
      </x:c>
      <x:c r="F17" s="6"/>
      <x:c r="G17" s="6"/>
      <x:c r="H17" s="6"/>
      <x:c r="I17" s="6"/>
      <x:c r="J17" s="6"/>
      <x:c r="K17" s="6"/>
      <x:c r="L17" s="6"/>
      <x:c r="M17" s="6"/>
      <x:c r="N17" s="6"/>
      <x:c r="O17" s="6"/>
      <x:c r="P17" s="6"/>
      <x:c r="Q17" s="6"/>
    </x:row>
    <x:row r="18" ht="26" customHeight="1">
      <x:c r="A18" s="24" t="str">
        <x:v>A2</x:v>
      </x:c>
      <x:c r="B18" s="24" t="str">
        <x:v>CampusEvents</x:v>
      </x:c>
      <x:c r="C18" s="24" t="str">
        <x:v>UC-01</x:v>
      </x:c>
      <x:c r="D18" s="28" t="str">
        <x:v>Студент / организатор</x:v>
      </x:c>
      <x:c r="E18" s="28" t="str">
        <x:v>Войти в систему</x:v>
      </x:c>
      <x:c r="F18" s="6"/>
      <x:c r="G18" s="6"/>
      <x:c r="H18" s="6"/>
      <x:c r="I18" s="6"/>
      <x:c r="J18" s="6"/>
      <x:c r="K18" s="6"/>
      <x:c r="L18" s="6"/>
      <x:c r="M18" s="6"/>
      <x:c r="N18" s="6"/>
      <x:c r="O18" s="6"/>
      <x:c r="P18" s="6"/>
      <x:c r="Q18" s="6"/>
    </x:row>
    <x:row r="19" ht="26" customHeight="1">
      <x:c r="A19" s="6" t="str">
        <x:v>A2</x:v>
      </x:c>
      <x:c r="B19" s="6" t="str">
        <x:v>CampusEvents</x:v>
      </x:c>
      <x:c r="C19" s="6" t="str">
        <x:v>UC-02</x:v>
      </x:c>
      <x:c r="D19" s="22" t="str">
        <x:v>Студент</x:v>
      </x:c>
      <x:c r="E19" s="22" t="str">
        <x:v>Просмотреть список мероприятий</x:v>
      </x:c>
      <x:c r="F19" s="6"/>
      <x:c r="G19" s="6"/>
      <x:c r="H19" s="6"/>
      <x:c r="I19" s="6"/>
      <x:c r="J19" s="6"/>
      <x:c r="K19" s="6"/>
      <x:c r="L19" s="6"/>
      <x:c r="M19" s="6"/>
      <x:c r="N19" s="6"/>
      <x:c r="O19" s="6"/>
      <x:c r="P19" s="6"/>
      <x:c r="Q19" s="6"/>
    </x:row>
    <x:row r="20" ht="26" customHeight="1">
      <x:c r="A20" s="6" t="str">
        <x:v>A2</x:v>
      </x:c>
      <x:c r="B20" s="6" t="str">
        <x:v>CampusEvents</x:v>
      </x:c>
      <x:c r="C20" s="6" t="str">
        <x:v>UC-03</x:v>
      </x:c>
      <x:c r="D20" s="22" t="str">
        <x:v>Студент</x:v>
      </x:c>
      <x:c r="E20" s="22" t="str">
        <x:v>Отфильтровать мероприятия по дате и категории</x:v>
      </x:c>
      <x:c r="F20" s="6"/>
      <x:c r="G20" s="6"/>
      <x:c r="H20" s="6"/>
      <x:c r="I20" s="6"/>
      <x:c r="J20" s="6"/>
      <x:c r="K20" s="6"/>
      <x:c r="L20" s="6"/>
      <x:c r="M20" s="6"/>
      <x:c r="N20" s="6"/>
      <x:c r="O20" s="6"/>
      <x:c r="P20" s="6"/>
      <x:c r="Q20" s="6"/>
    </x:row>
    <x:row r="21" ht="26" customHeight="1">
      <x:c r="A21" s="6" t="str">
        <x:v>A2</x:v>
      </x:c>
      <x:c r="B21" s="6" t="str">
        <x:v>CampusEvents</x:v>
      </x:c>
      <x:c r="C21" s="6" t="str">
        <x:v>UC-04</x:v>
      </x:c>
      <x:c r="D21" s="22" t="str">
        <x:v>Студент</x:v>
      </x:c>
      <x:c r="E21" s="22" t="str">
        <x:v>Открыть карточку мероприятия</x:v>
      </x:c>
      <x:c r="F21" s="6"/>
      <x:c r="G21" s="6"/>
      <x:c r="H21" s="6"/>
      <x:c r="I21" s="6"/>
      <x:c r="J21" s="6"/>
      <x:c r="K21" s="6"/>
      <x:c r="L21" s="6"/>
      <x:c r="M21" s="6"/>
      <x:c r="N21" s="6"/>
      <x:c r="O21" s="6"/>
      <x:c r="P21" s="6"/>
      <x:c r="Q21" s="6"/>
    </x:row>
    <x:row r="22" ht="26" customHeight="1">
      <x:c r="A22" s="6" t="str">
        <x:v>A2</x:v>
      </x:c>
      <x:c r="B22" s="6" t="str">
        <x:v>CampusEvents</x:v>
      </x:c>
      <x:c r="C22" s="6" t="str">
        <x:v>UC-05</x:v>
      </x:c>
      <x:c r="D22" s="22" t="str">
        <x:v>Студент</x:v>
      </x:c>
      <x:c r="E22" s="22" t="str">
        <x:v>Зарегистрироваться на мероприятие</x:v>
      </x:c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  <x:c r="Q22" s="6"/>
    </x:row>
    <x:row r="23" ht="26" customHeight="1">
      <x:c r="A23" s="6" t="str">
        <x:v>A2</x:v>
      </x:c>
      <x:c r="B23" s="6" t="str">
        <x:v>CampusEvents</x:v>
      </x:c>
      <x:c r="C23" s="6" t="str">
        <x:v>UC-06</x:v>
      </x:c>
      <x:c r="D23" s="22" t="str">
        <x:v>Студент</x:v>
      </x:c>
      <x:c r="E23" s="22" t="str">
        <x:v>Отменить свою регистрацию</x:v>
      </x:c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  <x:c r="Q23" s="6"/>
    </x:row>
    <x:row r="24" ht="26" customHeight="1">
      <x:c r="A24" s="6" t="str">
        <x:v>A2</x:v>
      </x:c>
      <x:c r="B24" s="6" t="str">
        <x:v>CampusEvents</x:v>
      </x:c>
      <x:c r="C24" s="6" t="str">
        <x:v>UC-07</x:v>
      </x:c>
      <x:c r="D24" s="22" t="str">
        <x:v>Студент</x:v>
      </x:c>
      <x:c r="E24" s="22" t="str">
        <x:v>Просмотреть список своих регистраций</x:v>
      </x:c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  <x:c r="Q24" s="6"/>
    </x:row>
    <x:row r="25" ht="26" customHeight="1">
      <x:c r="A25" s="6" t="str">
        <x:v>A2</x:v>
      </x:c>
      <x:c r="B25" s="6" t="str">
        <x:v>CampusEvents</x:v>
      </x:c>
      <x:c r="C25" s="6" t="str">
        <x:v>UC-08</x:v>
      </x:c>
      <x:c r="D25" s="22" t="str">
        <x:v>Организатор</x:v>
      </x:c>
      <x:c r="E25" s="22" t="str">
        <x:v>Создать мероприятие</x:v>
      </x:c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  <x:c r="Q25" s="6"/>
    </x:row>
    <x:row r="26" ht="26" customHeight="1">
      <x:c r="A26" s="6" t="str">
        <x:v>A2</x:v>
      </x:c>
      <x:c r="B26" s="6" t="str">
        <x:v>CampusEvents</x:v>
      </x:c>
      <x:c r="C26" s="6" t="str">
        <x:v>UC-09</x:v>
      </x:c>
      <x:c r="D26" s="22" t="str">
        <x:v>Организатор</x:v>
      </x:c>
      <x:c r="E26" s="22" t="str">
        <x:v>Отредактировать мероприятие</x:v>
      </x:c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  <x:c r="Q26" s="6"/>
    </x:row>
    <x:row r="27" ht="26" customHeight="1">
      <x:c r="A27" s="6" t="str">
        <x:v>A2</x:v>
      </x:c>
      <x:c r="B27" s="6" t="str">
        <x:v>CampusEvents</x:v>
      </x:c>
      <x:c r="C27" s="6" t="str">
        <x:v>UC-10</x:v>
      </x:c>
      <x:c r="D27" s="22" t="str">
        <x:v>Организатор</x:v>
      </x:c>
      <x:c r="E27" s="22" t="str">
        <x:v>Установить лимит участников</x:v>
      </x:c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  <x:c r="Q27" s="6"/>
    </x:row>
    <x:row r="28" ht="26" customHeight="1">
      <x:c r="A28" s="6" t="str">
        <x:v>A2</x:v>
      </x:c>
      <x:c r="B28" s="6" t="str">
        <x:v>CampusEvents</x:v>
      </x:c>
      <x:c r="C28" s="6" t="str">
        <x:v>UC-11</x:v>
      </x:c>
      <x:c r="D28" s="22" t="str">
        <x:v>Организатор</x:v>
      </x:c>
      <x:c r="E28" s="22" t="str">
        <x:v>Просмотреть список участников</x:v>
      </x:c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  <x:c r="Q28" s="6"/>
    </x:row>
    <x:row r="29" ht="26" customHeight="1">
      <x:c r="A29" s="6" t="str">
        <x:v>A2</x:v>
      </x:c>
      <x:c r="B29" s="6" t="str">
        <x:v>CampusEvents</x:v>
      </x:c>
      <x:c r="C29" s="6" t="str">
        <x:v>UC-12</x:v>
      </x:c>
      <x:c r="D29" s="22" t="str">
        <x:v>Организатор</x:v>
      </x:c>
      <x:c r="E29" s="22" t="str">
        <x:v>Закрыть регистрацию на мероприятие</x:v>
      </x:c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  <x:c r="Q29" s="6"/>
    </x:row>
    <x:row r="30" ht="26" customHeight="1">
      <x:c r="A30" s="24" t="str">
        <x:v>A3</x:v>
      </x:c>
      <x:c r="B30" s="24" t="str">
        <x:v>BookSwap</x:v>
      </x:c>
      <x:c r="C30" s="24" t="str">
        <x:v>UC-01</x:v>
      </x:c>
      <x:c r="D30" s="28" t="str">
        <x:v>Студент</x:v>
      </x:c>
      <x:c r="E30" s="28" t="str">
        <x:v>Войти в систему</x:v>
      </x:c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  <x:c r="Q30" s="6"/>
    </x:row>
    <x:row r="31" ht="26" customHeight="1">
      <x:c r="A31" s="6" t="str">
        <x:v>A3</x:v>
      </x:c>
      <x:c r="B31" s="6" t="str">
        <x:v>BookSwap</x:v>
      </x:c>
      <x:c r="C31" s="6" t="str">
        <x:v>UC-02</x:v>
      </x:c>
      <x:c r="D31" s="22" t="str">
        <x:v>Владелец книги</x:v>
      </x:c>
      <x:c r="E31" s="22" t="str">
        <x:v>Создать объявление об учебнике</x:v>
      </x:c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  <x:c r="Q31" s="6"/>
    </x:row>
    <x:row r="32" ht="26" customHeight="1">
      <x:c r="A32" s="6" t="str">
        <x:v>A3</x:v>
      </x:c>
      <x:c r="B32" s="6" t="str">
        <x:v>BookSwap</x:v>
      </x:c>
      <x:c r="C32" s="6" t="str">
        <x:v>UC-03</x:v>
      </x:c>
      <x:c r="D32" s="22" t="str">
        <x:v>Владелец книги</x:v>
      </x:c>
      <x:c r="E32" s="22" t="str">
        <x:v>Добавить фотографию обложки</x:v>
      </x:c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  <x:c r="Q32" s="6"/>
    </x:row>
    <x:row r="33" ht="26" customHeight="1">
      <x:c r="A33" s="6" t="str">
        <x:v>A3</x:v>
      </x:c>
      <x:c r="B33" s="6" t="str">
        <x:v>BookSwap</x:v>
      </x:c>
      <x:c r="C33" s="6" t="str">
        <x:v>UC-04</x:v>
      </x:c>
      <x:c r="D33" s="22" t="str">
        <x:v>Владелец книги</x:v>
      </x:c>
      <x:c r="E33" s="22" t="str">
        <x:v>Выбрать способ передачи книги</x:v>
      </x:c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  <x:c r="Q33" s="6"/>
    </x:row>
    <x:row r="34" ht="26" customHeight="1">
      <x:c r="A34" s="6" t="str">
        <x:v>A3</x:v>
      </x:c>
      <x:c r="B34" s="6" t="str">
        <x:v>BookSwap</x:v>
      </x:c>
      <x:c r="C34" s="6" t="str">
        <x:v>UC-05</x:v>
      </x:c>
      <x:c r="D34" s="22" t="str">
        <x:v>Студент</x:v>
      </x:c>
      <x:c r="E34" s="22" t="str">
        <x:v>Найти книгу по названию</x:v>
      </x:c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  <x:c r="Q34" s="6"/>
    </x:row>
    <x:row r="35" ht="26" customHeight="1">
      <x:c r="A35" s="6" t="str">
        <x:v>A3</x:v>
      </x:c>
      <x:c r="B35" s="6" t="str">
        <x:v>BookSwap</x:v>
      </x:c>
      <x:c r="C35" s="6" t="str">
        <x:v>UC-06</x:v>
      </x:c>
      <x:c r="D35" s="22" t="str">
        <x:v>Студент</x:v>
      </x:c>
      <x:c r="E35" s="22" t="str">
        <x:v>Отфильтровать объявления по дисциплине</x:v>
      </x:c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  <x:c r="Q35" s="6"/>
    </x:row>
    <x:row r="36" ht="26" customHeight="1">
      <x:c r="A36" s="6" t="str">
        <x:v>A3</x:v>
      </x:c>
      <x:c r="B36" s="6" t="str">
        <x:v>BookSwap</x:v>
      </x:c>
      <x:c r="C36" s="6" t="str">
        <x:v>UC-07</x:v>
      </x:c>
      <x:c r="D36" s="22" t="str">
        <x:v>Студент</x:v>
      </x:c>
      <x:c r="E36" s="22" t="str">
        <x:v>Просмотреть объявление и состояние книги</x:v>
      </x:c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  <x:c r="Q36" s="6"/>
    </x:row>
    <x:row r="37" ht="26" customHeight="1">
      <x:c r="A37" s="6" t="str">
        <x:v>A3</x:v>
      </x:c>
      <x:c r="B37" s="6" t="str">
        <x:v>BookSwap</x:v>
      </x:c>
      <x:c r="C37" s="6" t="str">
        <x:v>UC-08</x:v>
      </x:c>
      <x:c r="D37" s="22" t="str">
        <x:v>Студент</x:v>
      </x:c>
      <x:c r="E37" s="22" t="str">
        <x:v>Отправить запрос на получение книги</x:v>
      </x:c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  <x:c r="Q37" s="6"/>
    </x:row>
    <x:row r="38" ht="26" customHeight="1">
      <x:c r="A38" s="6" t="str">
        <x:v>A3</x:v>
      </x:c>
      <x:c r="B38" s="6" t="str">
        <x:v>BookSwap</x:v>
      </x:c>
      <x:c r="C38" s="6" t="str">
        <x:v>UC-09</x:v>
      </x:c>
      <x:c r="D38" s="22" t="str">
        <x:v>Владелец книги</x:v>
      </x:c>
      <x:c r="E38" s="22" t="str">
        <x:v>Принять или отклонить запрос</x:v>
      </x:c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  <x:c r="Q38" s="6"/>
    </x:row>
    <x:row r="39" ht="26" customHeight="1">
      <x:c r="A39" s="6" t="str">
        <x:v>A3</x:v>
      </x:c>
      <x:c r="B39" s="6" t="str">
        <x:v>BookSwap</x:v>
      </x:c>
      <x:c r="C39" s="6" t="str">
        <x:v>UC-10</x:v>
      </x:c>
      <x:c r="D39" s="22" t="str">
        <x:v>Владелец книги</x:v>
      </x:c>
      <x:c r="E39" s="22" t="str">
        <x:v>Отметить книгу как переданную</x:v>
      </x:c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  <x:c r="Q39" s="6"/>
    </x:row>
    <x:row r="40" ht="26" customHeight="1">
      <x:c r="A40" s="6" t="str">
        <x:v>A3</x:v>
      </x:c>
      <x:c r="B40" s="6" t="str">
        <x:v>BookSwap</x:v>
      </x:c>
      <x:c r="C40" s="6" t="str">
        <x:v>UC-11</x:v>
      </x:c>
      <x:c r="D40" s="22" t="str">
        <x:v>Студент</x:v>
      </x:c>
      <x:c r="E40" s="22" t="str">
        <x:v>Просмотреть историю собственных запросов</x:v>
      </x:c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  <x:c r="Q40" s="6"/>
    </x:row>
    <x:row r="41" ht="26" customHeight="1">
      <x:c r="A41" s="6" t="str">
        <x:v>A3</x:v>
      </x:c>
      <x:c r="B41" s="6" t="str">
        <x:v>BookSwap</x:v>
      </x:c>
      <x:c r="C41" s="6" t="str">
        <x:v>UC-12</x:v>
      </x:c>
      <x:c r="D41" s="22" t="str">
        <x:v>Студент</x:v>
      </x:c>
      <x:c r="E41" s="22" t="str">
        <x:v>Оценить завершённый обмен</x:v>
      </x:c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  <x:c r="Q41" s="6"/>
    </x:row>
    <x:row r="42" ht="26" customHeight="1">
      <x:c r="A42" s="24" t="str">
        <x:v>A4</x:v>
      </x:c>
      <x:c r="B42" s="24" t="str">
        <x:v>SkillBridge</x:v>
      </x:c>
      <x:c r="C42" s="24" t="str">
        <x:v>UC-01</x:v>
      </x:c>
      <x:c r="D42" s="28" t="str">
        <x:v>Студент</x:v>
      </x:c>
      <x:c r="E42" s="28" t="str">
        <x:v>Войти в систему</x:v>
      </x:c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  <x:c r="Q42" s="6"/>
    </x:row>
    <x:row r="43" ht="26" customHeight="1">
      <x:c r="A43" s="6" t="str">
        <x:v>A4</x:v>
      </x:c>
      <x:c r="B43" s="6" t="str">
        <x:v>SkillBridge</x:v>
      </x:c>
      <x:c r="C43" s="6" t="str">
        <x:v>UC-02</x:v>
      </x:c>
      <x:c r="D43" s="22" t="str">
        <x:v>Консультант</x:v>
      </x:c>
      <x:c r="E43" s="22" t="str">
        <x:v>Создать профиль с навыками</x:v>
      </x:c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  <x:c r="Q43" s="6"/>
    </x:row>
    <x:row r="44" ht="26" customHeight="1">
      <x:c r="A44" s="6" t="str">
        <x:v>A4</x:v>
      </x:c>
      <x:c r="B44" s="6" t="str">
        <x:v>SkillBridge</x:v>
      </x:c>
      <x:c r="C44" s="6" t="str">
        <x:v>UC-03</x:v>
      </x:c>
      <x:c r="D44" s="22" t="str">
        <x:v>Студент</x:v>
      </x:c>
      <x:c r="E44" s="22" t="str">
        <x:v>Найти консультанта по дисциплине</x:v>
      </x:c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  <x:c r="Q44" s="6"/>
    </x:row>
    <x:row r="45" ht="26" customHeight="1">
      <x:c r="A45" s="6" t="str">
        <x:v>A4</x:v>
      </x:c>
      <x:c r="B45" s="6" t="str">
        <x:v>SkillBridge</x:v>
      </x:c>
      <x:c r="C45" s="6" t="str">
        <x:v>UC-04</x:v>
      </x:c>
      <x:c r="D45" s="22" t="str">
        <x:v>Студент</x:v>
      </x:c>
      <x:c r="E45" s="22" t="str">
        <x:v>Отфильтровать консультантов по теме</x:v>
      </x:c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  <x:c r="Q45" s="6"/>
    </x:row>
    <x:row r="46" ht="26" customHeight="1">
      <x:c r="A46" s="6" t="str">
        <x:v>A4</x:v>
      </x:c>
      <x:c r="B46" s="6" t="str">
        <x:v>SkillBridge</x:v>
      </x:c>
      <x:c r="C46" s="6" t="str">
        <x:v>UC-05</x:v>
      </x:c>
      <x:c r="D46" s="22" t="str">
        <x:v>Студент</x:v>
      </x:c>
      <x:c r="E46" s="22" t="str">
        <x:v>Просмотреть профиль консультанта</x:v>
      </x:c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  <x:c r="Q46" s="6"/>
    </x:row>
    <x:row r="47" ht="26" customHeight="1">
      <x:c r="A47" s="6" t="str">
        <x:v>A4</x:v>
      </x:c>
      <x:c r="B47" s="6" t="str">
        <x:v>SkillBridge</x:v>
      </x:c>
      <x:c r="C47" s="6" t="str">
        <x:v>UC-06</x:v>
      </x:c>
      <x:c r="D47" s="22" t="str">
        <x:v>Студент</x:v>
      </x:c>
      <x:c r="E47" s="22" t="str">
        <x:v>Создать запрос на консультацию</x:v>
      </x:c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  <x:c r="Q47" s="6"/>
    </x:row>
    <x:row r="48" ht="26" customHeight="1">
      <x:c r="A48" s="6" t="str">
        <x:v>A4</x:v>
      </x:c>
      <x:c r="B48" s="6" t="str">
        <x:v>SkillBridge</x:v>
      </x:c>
      <x:c r="C48" s="6" t="str">
        <x:v>UC-07</x:v>
      </x:c>
      <x:c r="D48" s="22" t="str">
        <x:v>Студент</x:v>
      </x:c>
      <x:c r="E48" s="22" t="str">
        <x:v>Предложить время встречи</x:v>
      </x:c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  <x:c r="Q48" s="6"/>
    </x:row>
    <x:row r="49" ht="26" customHeight="1">
      <x:c r="A49" s="6" t="str">
        <x:v>A4</x:v>
      </x:c>
      <x:c r="B49" s="6" t="str">
        <x:v>SkillBridge</x:v>
      </x:c>
      <x:c r="C49" s="6" t="str">
        <x:v>UC-08</x:v>
      </x:c>
      <x:c r="D49" s="22" t="str">
        <x:v>Консультант</x:v>
      </x:c>
      <x:c r="E49" s="22" t="str">
        <x:v>Подтвердить или отклонить запрос</x:v>
      </x:c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  <x:c r="Q49" s="6"/>
    </x:row>
    <x:row r="50" ht="26" customHeight="1">
      <x:c r="A50" s="6" t="str">
        <x:v>A4</x:v>
      </x:c>
      <x:c r="B50" s="6" t="str">
        <x:v>SkillBridge</x:v>
      </x:c>
      <x:c r="C50" s="6" t="str">
        <x:v>UC-09</x:v>
      </x:c>
      <x:c r="D50" s="22" t="str">
        <x:v>Участник консультации</x:v>
      </x:c>
      <x:c r="E50" s="22" t="str">
        <x:v>Отменить согласованную встречу</x:v>
      </x:c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  <x:c r="Q50" s="6"/>
    </x:row>
    <x:row r="51" ht="26" customHeight="1">
      <x:c r="A51" s="6" t="str">
        <x:v>A4</x:v>
      </x:c>
      <x:c r="B51" s="6" t="str">
        <x:v>SkillBridge</x:v>
      </x:c>
      <x:c r="C51" s="6" t="str">
        <x:v>UC-10</x:v>
      </x:c>
      <x:c r="D51" s="22" t="str">
        <x:v>Участник консультации</x:v>
      </x:c>
      <x:c r="E51" s="22" t="str">
        <x:v>Просмотреть предстоящие встречи</x:v>
      </x:c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  <x:c r="Q51" s="6"/>
    </x:row>
    <x:row r="52" ht="26" customHeight="1">
      <x:c r="A52" s="6" t="str">
        <x:v>A4</x:v>
      </x:c>
      <x:c r="B52" s="6" t="str">
        <x:v>SkillBridge</x:v>
      </x:c>
      <x:c r="C52" s="6" t="str">
        <x:v>UC-11</x:v>
      </x:c>
      <x:c r="D52" s="22" t="str">
        <x:v>Участник консультации</x:v>
      </x:c>
      <x:c r="E52" s="22" t="str">
        <x:v>Отметить консультацию завершённой</x:v>
      </x:c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  <x:c r="Q52" s="6"/>
    </x:row>
    <x:row r="53" ht="26" customHeight="1">
      <x:c r="A53" s="6" t="str">
        <x:v>A4</x:v>
      </x:c>
      <x:c r="B53" s="6" t="str">
        <x:v>SkillBridge</x:v>
      </x:c>
      <x:c r="C53" s="6" t="str">
        <x:v>UC-12</x:v>
      </x:c>
      <x:c r="D53" s="22" t="str">
        <x:v>Студент</x:v>
      </x:c>
      <x:c r="E53" s="22" t="str">
        <x:v>Оставить отзыв по консультации</x:v>
      </x:c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  <x:c r="Q53" s="6"/>
    </x:row>
    <x:row r="54" ht="19" customHeight="1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  <x:c r="Q54" s="6"/>
    </x:row>
    <x:row r="55" ht="19" customHeight="1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  <x:c r="Q55" s="6"/>
    </x:row>
    <x:row r="56" ht="19" customHeight="1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  <x:c r="Q56" s="6"/>
    </x:row>
    <x:row r="57" ht="19" customHeight="1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  <x:c r="Q57" s="6"/>
    </x:row>
    <x:row r="58" ht="19" customHeight="1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  <x:c r="Q58" s="6"/>
    </x:row>
    <x:row r="59" ht="19" customHeight="1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  <x:c r="Q59" s="6"/>
    </x:row>
    <x:row r="60" ht="19" customHeight="1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  <x:c r="Q60" s="6"/>
    </x:row>
    <x:row r="61" ht="19" customHeight="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  <x:c r="Q61" s="6"/>
    </x:row>
    <x:row r="62" ht="19" customHeight="1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  <x:c r="Q62" s="6"/>
    </x:row>
    <x:row r="63" ht="19" customHeight="1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  <x:c r="Q63" s="6"/>
    </x:row>
    <x:row r="64" ht="19" customHeight="1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  <x:c r="Q64" s="6"/>
    </x:row>
    <x:row r="65" ht="19" customHeight="1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</x:row>
    <x:row r="66" ht="19" customHeight="1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  <x:c r="Q66" s="6"/>
    </x:row>
    <x:row r="67" ht="19" customHeight="1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  <x:c r="Q67" s="6"/>
    </x:row>
    <x:row r="68" ht="19" customHeight="1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  <x:c r="Q68" s="6"/>
    </x:row>
    <x:row r="69" ht="19" customHeight="1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  <x:c r="Q69" s="6"/>
    </x:row>
    <x:row r="70" ht="19" customHeight="1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</x:row>
    <x:row r="71" ht="19" customHeight="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  <x:c r="Q71" s="6"/>
    </x:row>
    <x:row r="72" ht="19" customHeight="1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  <x:c r="Q72" s="6"/>
    </x:row>
    <x:row r="73" ht="19" customHeight="1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  <x:c r="Q73" s="6"/>
    </x:row>
    <x:row r="74" ht="19" customHeight="1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  <x:c r="Q74" s="6"/>
    </x:row>
    <x:row r="75" ht="19" customHeight="1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  <x:c r="Q75" s="6"/>
    </x:row>
    <x:row r="76" ht="19" customHeight="1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  <x:c r="Q76" s="6"/>
    </x:row>
    <x:row r="77" ht="19" customHeight="1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  <x:c r="Q77" s="6"/>
    </x:row>
    <x:row r="78" ht="19" customHeight="1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  <x:c r="Q78" s="6"/>
    </x:row>
    <x:row r="79" ht="19" customHeight="1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  <x:c r="Q79" s="6"/>
    </x:row>
    <x:row r="80" ht="19" customHeight="1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  <x:c r="Q80" s="6"/>
    </x:row>
    <x:row r="81" ht="19" customHeight="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  <x:c r="Q81" s="6"/>
    </x:row>
    <x:row r="82" ht="19" customHeight="1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  <x:c r="Q82" s="6"/>
    </x:row>
    <x:row r="83" ht="19" customHeight="1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  <x:c r="Q83" s="6"/>
    </x:row>
    <x:row r="84" ht="19" customHeight="1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  <x:c r="Q84" s="6"/>
    </x:row>
    <x:row r="85" ht="19" customHeight="1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</x:row>
    <x:row r="86" ht="19" customHeight="1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  <x:c r="Q86" s="6"/>
    </x:row>
    <x:row r="87" ht="19" customHeight="1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  <x:c r="Q87" s="6"/>
    </x:row>
    <x:row r="88" ht="19" customHeight="1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  <x:c r="Q88" s="6"/>
    </x:row>
    <x:row r="89" ht="19" customHeight="1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  <x:c r="Q89" s="6"/>
    </x:row>
    <x:row r="90" ht="19" customHeight="1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  <x:c r="Q90" s="6"/>
    </x:row>
    <x:row r="91" ht="19" customHeight="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  <x:c r="Q91" s="6"/>
    </x:row>
    <x:row r="92" ht="19" customHeight="1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  <x:c r="Q92" s="6"/>
    </x:row>
    <x:row r="93" ht="19" customHeight="1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  <x:c r="Q93" s="6"/>
    </x:row>
    <x:row r="94" ht="19" customHeight="1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  <x:c r="Q94" s="6"/>
    </x:row>
    <x:row r="95" ht="19" customHeight="1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  <x:c r="Q95" s="6"/>
    </x:row>
    <x:row r="96" ht="19" customHeight="1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  <x:c r="Q96" s="6"/>
    </x:row>
    <x:row r="97" ht="19" customHeight="1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  <x:c r="Q97" s="6"/>
    </x:row>
    <x:row r="98" ht="19" customHeight="1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  <x:c r="Q98" s="6"/>
    </x:row>
    <x:row r="99" ht="19" customHeight="1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  <x:c r="Q99" s="6"/>
    </x:row>
    <x:row r="100" ht="19" customHeight="1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  <x:c r="Q100" s="6"/>
    </x:row>
    <x:row r="101" ht="19" customHeight="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  <x:c r="L101" s="6"/>
      <x:c r="M101" s="6"/>
      <x:c r="N101" s="6"/>
      <x:c r="O101" s="6"/>
      <x:c r="P101" s="6"/>
      <x:c r="Q101" s="6"/>
    </x:row>
    <x:row r="102" ht="19" customHeight="1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  <x:c r="M102" s="6"/>
      <x:c r="N102" s="6"/>
      <x:c r="O102" s="6"/>
      <x:c r="P102" s="6"/>
      <x:c r="Q102" s="6"/>
    </x:row>
    <x:row r="103" ht="19" customHeight="1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  <x:c r="L103" s="6"/>
      <x:c r="M103" s="6"/>
      <x:c r="N103" s="6"/>
      <x:c r="O103" s="6"/>
      <x:c r="P103" s="6"/>
      <x:c r="Q103" s="6"/>
    </x:row>
    <x:row r="104" ht="19" customHeight="1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  <x:c r="M104" s="6"/>
      <x:c r="N104" s="6"/>
      <x:c r="O104" s="6"/>
      <x:c r="P104" s="6"/>
      <x:c r="Q104" s="6"/>
    </x:row>
    <x:row r="105" ht="19" customHeight="1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  <x:c r="M105" s="6"/>
      <x:c r="N105" s="6"/>
      <x:c r="O105" s="6"/>
      <x:c r="P105" s="6"/>
      <x:c r="Q105" s="6"/>
    </x:row>
    <x:row r="106" ht="19" customHeight="1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  <x:c r="M106" s="6"/>
      <x:c r="N106" s="6"/>
      <x:c r="O106" s="6"/>
      <x:c r="P106" s="6"/>
      <x:c r="Q106" s="6"/>
    </x:row>
    <x:row r="107" ht="19" customHeight="1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  <x:c r="M107" s="6"/>
      <x:c r="N107" s="6"/>
      <x:c r="O107" s="6"/>
      <x:c r="P107" s="6"/>
      <x:c r="Q107" s="6"/>
    </x:row>
    <x:row r="108" ht="19" customHeight="1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  <x:c r="M108" s="6"/>
      <x:c r="N108" s="6"/>
      <x:c r="O108" s="6"/>
      <x:c r="P108" s="6"/>
      <x:c r="Q108" s="6"/>
    </x:row>
    <x:row r="109" ht="19" customHeight="1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  <x:c r="L109" s="6"/>
      <x:c r="M109" s="6"/>
      <x:c r="N109" s="6"/>
      <x:c r="O109" s="6"/>
      <x:c r="P109" s="6"/>
      <x:c r="Q109" s="6"/>
    </x:row>
    <x:row r="110" ht="19" customHeight="1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  <x:c r="L110" s="6"/>
      <x:c r="M110" s="6"/>
      <x:c r="N110" s="6"/>
      <x:c r="O110" s="6"/>
      <x:c r="P110" s="6"/>
      <x:c r="Q110" s="6"/>
    </x:row>
    <x:row r="111" ht="19" customHeight="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  <x:c r="L111" s="6"/>
      <x:c r="M111" s="6"/>
      <x:c r="N111" s="6"/>
      <x:c r="O111" s="6"/>
      <x:c r="P111" s="6"/>
      <x:c r="Q111" s="6"/>
    </x:row>
    <x:row r="112" ht="19" customHeight="1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  <x:c r="L112" s="6"/>
      <x:c r="M112" s="6"/>
      <x:c r="N112" s="6"/>
      <x:c r="O112" s="6"/>
      <x:c r="P112" s="6"/>
      <x:c r="Q112" s="6"/>
    </x:row>
    <x:row r="113" ht="19" customHeight="1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  <x:c r="L113" s="6"/>
      <x:c r="M113" s="6"/>
      <x:c r="N113" s="6"/>
      <x:c r="O113" s="6"/>
      <x:c r="P113" s="6"/>
      <x:c r="Q113" s="6"/>
    </x:row>
    <x:row r="114" ht="19" customHeight="1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  <x:c r="L114" s="6"/>
      <x:c r="M114" s="6"/>
      <x:c r="N114" s="6"/>
      <x:c r="O114" s="6"/>
      <x:c r="P114" s="6"/>
      <x:c r="Q114" s="6"/>
    </x:row>
    <x:row r="115" ht="19" customHeight="1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  <x:c r="M115" s="6"/>
      <x:c r="N115" s="6"/>
      <x:c r="O115" s="6"/>
      <x:c r="P115" s="6"/>
      <x:c r="Q115" s="6"/>
    </x:row>
    <x:row r="116" ht="19" customHeight="1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  <x:c r="L116" s="6"/>
      <x:c r="M116" s="6"/>
      <x:c r="N116" s="6"/>
      <x:c r="O116" s="6"/>
      <x:c r="P116" s="6"/>
      <x:c r="Q116" s="6"/>
    </x:row>
    <x:row r="117" ht="19" customHeight="1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  <x:c r="M117" s="6"/>
      <x:c r="N117" s="6"/>
      <x:c r="O117" s="6"/>
      <x:c r="P117" s="6"/>
      <x:c r="Q117" s="6"/>
    </x:row>
    <x:row r="118" ht="19" customHeight="1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  <x:c r="M118" s="6"/>
      <x:c r="N118" s="6"/>
      <x:c r="O118" s="6"/>
      <x:c r="P118" s="6"/>
      <x:c r="Q118" s="6"/>
    </x:row>
    <x:row r="119" ht="19" customHeight="1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  <x:c r="M119" s="6"/>
      <x:c r="N119" s="6"/>
      <x:c r="O119" s="6"/>
      <x:c r="P119" s="6"/>
      <x:c r="Q119" s="6"/>
    </x:row>
    <x:row r="120" ht="19" customHeight="1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  <x:c r="M120" s="6"/>
      <x:c r="N120" s="6"/>
      <x:c r="O120" s="6"/>
      <x:c r="P120" s="6"/>
      <x:c r="Q120" s="6"/>
    </x:row>
    <x:row r="121" ht="19" customHeight="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  <x:c r="M121" s="6"/>
      <x:c r="N121" s="6"/>
      <x:c r="O121" s="6"/>
      <x:c r="P121" s="6"/>
      <x:c r="Q121" s="6"/>
    </x:row>
    <x:row r="122" ht="19" customHeight="1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  <x:c r="L122" s="6"/>
      <x:c r="M122" s="6"/>
      <x:c r="N122" s="6"/>
      <x:c r="O122" s="6"/>
      <x:c r="P122" s="6"/>
      <x:c r="Q122" s="6"/>
    </x:row>
    <x:row r="123" ht="19" customHeight="1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  <x:c r="L123" s="6"/>
      <x:c r="M123" s="6"/>
      <x:c r="N123" s="6"/>
      <x:c r="O123" s="6"/>
      <x:c r="P123" s="6"/>
      <x:c r="Q123" s="6"/>
    </x:row>
    <x:row r="124" ht="19" customHeight="1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  <x:c r="L124" s="6"/>
      <x:c r="M124" s="6"/>
      <x:c r="N124" s="6"/>
      <x:c r="O124" s="6"/>
      <x:c r="P124" s="6"/>
      <x:c r="Q124" s="6"/>
    </x:row>
    <x:row r="125" ht="19" customHeight="1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  <x:c r="L125" s="6"/>
      <x:c r="M125" s="6"/>
      <x:c r="N125" s="6"/>
      <x:c r="O125" s="6"/>
      <x:c r="P125" s="6"/>
      <x:c r="Q125" s="6"/>
    </x:row>
    <x:row r="126" ht="19" customHeight="1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  <x:c r="L126" s="6"/>
      <x:c r="M126" s="6"/>
      <x:c r="N126" s="6"/>
      <x:c r="O126" s="6"/>
      <x:c r="P126" s="6"/>
      <x:c r="Q126" s="6"/>
    </x:row>
    <x:row r="127" ht="19" customHeight="1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  <x:c r="L127" s="6"/>
      <x:c r="M127" s="6"/>
      <x:c r="N127" s="6"/>
      <x:c r="O127" s="6"/>
      <x:c r="P127" s="6"/>
      <x:c r="Q127" s="6"/>
    </x:row>
    <x:row r="128" ht="19" customHeight="1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  <x:c r="M128" s="6"/>
      <x:c r="N128" s="6"/>
      <x:c r="O128" s="6"/>
      <x:c r="P128" s="6"/>
      <x:c r="Q128" s="6"/>
    </x:row>
    <x:row r="129" ht="19" customHeight="1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  <x:c r="L129" s="6"/>
      <x:c r="M129" s="6"/>
      <x:c r="N129" s="6"/>
      <x:c r="O129" s="6"/>
      <x:c r="P129" s="6"/>
      <x:c r="Q129" s="6"/>
    </x:row>
    <x:row r="130" ht="19" customHeight="1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  <x:c r="M130" s="6"/>
      <x:c r="N130" s="6"/>
      <x:c r="O130" s="6"/>
      <x:c r="P130" s="6"/>
      <x:c r="Q130" s="6"/>
    </x:row>
    <x:row r="131" ht="19" customHeight="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  <x:c r="M131" s="6"/>
      <x:c r="N131" s="6"/>
      <x:c r="O131" s="6"/>
      <x:c r="P131" s="6"/>
      <x:c r="Q131" s="6"/>
    </x:row>
    <x:row r="132" ht="19" customHeight="1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  <x:c r="M132" s="6"/>
      <x:c r="N132" s="6"/>
      <x:c r="O132" s="6"/>
      <x:c r="P132" s="6"/>
      <x:c r="Q132" s="6"/>
    </x:row>
    <x:row r="133" ht="19" customHeight="1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  <x:c r="M133" s="6"/>
      <x:c r="N133" s="6"/>
      <x:c r="O133" s="6"/>
      <x:c r="P133" s="6"/>
      <x:c r="Q133" s="6"/>
    </x:row>
    <x:row r="134" ht="19" customHeight="1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  <x:c r="M134" s="6"/>
      <x:c r="N134" s="6"/>
      <x:c r="O134" s="6"/>
      <x:c r="P134" s="6"/>
      <x:c r="Q134" s="6"/>
    </x:row>
    <x:row r="135" ht="19" customHeight="1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  <x:c r="M135" s="6"/>
      <x:c r="N135" s="6"/>
      <x:c r="O135" s="6"/>
      <x:c r="P135" s="6"/>
      <x:c r="Q135" s="6"/>
    </x:row>
    <x:row r="136" ht="19" customHeight="1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  <x:c r="M136" s="6"/>
      <x:c r="N136" s="6"/>
      <x:c r="O136" s="6"/>
      <x:c r="P136" s="6"/>
      <x:c r="Q136" s="6"/>
    </x:row>
    <x:row r="137" ht="19" customHeight="1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  <x:c r="M137" s="6"/>
      <x:c r="N137" s="6"/>
      <x:c r="O137" s="6"/>
      <x:c r="P137" s="6"/>
      <x:c r="Q137" s="6"/>
    </x:row>
    <x:row r="138" ht="19" customHeight="1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  <x:c r="M138" s="6"/>
      <x:c r="N138" s="6"/>
      <x:c r="O138" s="6"/>
      <x:c r="P138" s="6"/>
      <x:c r="Q138" s="6"/>
    </x:row>
    <x:row r="139" ht="19" customHeight="1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  <x:c r="N139" s="6"/>
      <x:c r="O139" s="6"/>
      <x:c r="P139" s="6"/>
      <x:c r="Q139" s="6"/>
    </x:row>
    <x:row r="140" ht="19" customHeight="1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  <x:c r="M140" s="6"/>
      <x:c r="N140" s="6"/>
      <x:c r="O140" s="6"/>
      <x:c r="P140" s="6"/>
      <x:c r="Q140" s="6"/>
    </x:row>
    <x:row r="141" ht="19" customHeight="1">
      <x:c r="A141" s="6"/>
      <x:c r="B141" s="6"/>
      <x:c r="C141" s="6"/>
      <x:c r="D141" s="6"/>
      <x:c r="E141" s="6"/>
      <x:c r="F141" s="6"/>
      <x:c r="G141" s="6"/>
      <x:c r="H141" s="6"/>
      <x:c r="I141" s="6"/>
      <x:c r="J141" s="6"/>
      <x:c r="K141" s="6"/>
      <x:c r="L141" s="6"/>
      <x:c r="M141" s="6"/>
      <x:c r="N141" s="6"/>
      <x:c r="O141" s="6"/>
      <x:c r="P141" s="6"/>
      <x:c r="Q141" s="6"/>
    </x:row>
    <x:row r="142" ht="19" customHeight="1">
      <x:c r="A142" s="6"/>
      <x:c r="B142" s="6"/>
      <x:c r="C142" s="6"/>
      <x:c r="D142" s="6"/>
      <x:c r="E142" s="6"/>
      <x:c r="F142" s="6"/>
      <x:c r="G142" s="6"/>
      <x:c r="H142" s="6"/>
      <x:c r="I142" s="6"/>
      <x:c r="J142" s="6"/>
      <x:c r="K142" s="6"/>
      <x:c r="L142" s="6"/>
      <x:c r="M142" s="6"/>
      <x:c r="N142" s="6"/>
      <x:c r="O142" s="6"/>
      <x:c r="P142" s="6"/>
      <x:c r="Q142" s="6"/>
    </x:row>
    <x:row r="143" ht="19" customHeight="1">
      <x:c r="A143" s="6"/>
      <x:c r="B143" s="6"/>
      <x:c r="C143" s="6"/>
      <x:c r="D143" s="6"/>
      <x:c r="E143" s="6"/>
      <x:c r="F143" s="6"/>
      <x:c r="G143" s="6"/>
      <x:c r="H143" s="6"/>
      <x:c r="I143" s="6"/>
      <x:c r="J143" s="6"/>
      <x:c r="K143" s="6"/>
      <x:c r="L143" s="6"/>
      <x:c r="M143" s="6"/>
      <x:c r="N143" s="6"/>
      <x:c r="O143" s="6"/>
      <x:c r="P143" s="6"/>
      <x:c r="Q143" s="6"/>
    </x:row>
    <x:row r="144" ht="19" customHeight="1">
      <x:c r="A144" s="6"/>
      <x:c r="B144" s="6"/>
      <x:c r="C144" s="6"/>
      <x:c r="D144" s="6"/>
      <x:c r="E144" s="6"/>
      <x:c r="F144" s="6"/>
      <x:c r="G144" s="6"/>
      <x:c r="H144" s="6"/>
      <x:c r="I144" s="6"/>
      <x:c r="J144" s="6"/>
      <x:c r="K144" s="6"/>
      <x:c r="L144" s="6"/>
      <x:c r="M144" s="6"/>
      <x:c r="N144" s="6"/>
      <x:c r="O144" s="6"/>
      <x:c r="P144" s="6"/>
      <x:c r="Q144" s="6"/>
    </x:row>
    <x:row r="145" ht="19" customHeight="1">
      <x:c r="A145" s="6"/>
      <x:c r="B145" s="6"/>
      <x:c r="C145" s="6"/>
      <x:c r="D145" s="6"/>
      <x:c r="E145" s="6"/>
      <x:c r="F145" s="6"/>
      <x:c r="G145" s="6"/>
      <x:c r="H145" s="6"/>
      <x:c r="I145" s="6"/>
      <x:c r="J145" s="6"/>
      <x:c r="K145" s="6"/>
      <x:c r="L145" s="6"/>
      <x:c r="M145" s="6"/>
      <x:c r="N145" s="6"/>
      <x:c r="O145" s="6"/>
      <x:c r="P145" s="6"/>
      <x:c r="Q145" s="6"/>
    </x:row>
    <x:row r="146" ht="19" customHeight="1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  <x:c r="K146" s="6"/>
      <x:c r="L146" s="6"/>
      <x:c r="M146" s="6"/>
      <x:c r="N146" s="6"/>
      <x:c r="O146" s="6"/>
      <x:c r="P146" s="6"/>
      <x:c r="Q146" s="6"/>
    </x:row>
    <x:row r="147" ht="19" customHeight="1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  <x:c r="K147" s="6"/>
      <x:c r="L147" s="6"/>
      <x:c r="M147" s="6"/>
      <x:c r="N147" s="6"/>
      <x:c r="O147" s="6"/>
      <x:c r="P147" s="6"/>
      <x:c r="Q147" s="6"/>
    </x:row>
    <x:row r="148" ht="19" customHeight="1">
      <x:c r="A148" s="6"/>
      <x:c r="B148" s="6"/>
      <x:c r="C148" s="6"/>
      <x:c r="D148" s="6"/>
      <x:c r="E148" s="6"/>
      <x:c r="F148" s="6"/>
      <x:c r="G148" s="6"/>
      <x:c r="H148" s="6"/>
      <x:c r="I148" s="6"/>
      <x:c r="J148" s="6"/>
      <x:c r="K148" s="6"/>
      <x:c r="L148" s="6"/>
      <x:c r="M148" s="6"/>
      <x:c r="N148" s="6"/>
      <x:c r="O148" s="6"/>
      <x:c r="P148" s="6"/>
      <x:c r="Q148" s="6"/>
    </x:row>
    <x:row r="149" ht="19" customHeight="1">
      <x:c r="A149" s="6"/>
      <x:c r="B149" s="6"/>
      <x:c r="C149" s="6"/>
      <x:c r="D149" s="6"/>
      <x:c r="E149" s="6"/>
      <x:c r="F149" s="6"/>
      <x:c r="G149" s="6"/>
      <x:c r="H149" s="6"/>
      <x:c r="I149" s="6"/>
      <x:c r="J149" s="6"/>
      <x:c r="K149" s="6"/>
      <x:c r="L149" s="6"/>
      <x:c r="M149" s="6"/>
      <x:c r="N149" s="6"/>
      <x:c r="O149" s="6"/>
      <x:c r="P149" s="6"/>
      <x:c r="Q149" s="6"/>
    </x:row>
    <x:row r="150" ht="19" customHeight="1">
      <x:c r="A150" s="6"/>
      <x:c r="B150" s="6"/>
      <x:c r="C150" s="6"/>
      <x:c r="D150" s="6"/>
      <x:c r="E150" s="6"/>
      <x:c r="F150" s="6"/>
      <x:c r="G150" s="6"/>
      <x:c r="H150" s="6"/>
      <x:c r="I150" s="6"/>
      <x:c r="J150" s="6"/>
      <x:c r="K150" s="6"/>
      <x:c r="L150" s="6"/>
      <x:c r="M150" s="6"/>
      <x:c r="N150" s="6"/>
      <x:c r="O150" s="6"/>
      <x:c r="P150" s="6"/>
      <x:c r="Q150" s="6"/>
    </x:row>
    <x:row r="151" ht="19" customHeight="1">
      <x:c r="A151" s="6"/>
      <x:c r="B151" s="6"/>
      <x:c r="C151" s="6"/>
      <x:c r="D151" s="6"/>
      <x:c r="E151" s="6"/>
      <x:c r="F151" s="6"/>
      <x:c r="G151" s="6"/>
      <x:c r="H151" s="6"/>
      <x:c r="I151" s="6"/>
      <x:c r="J151" s="6"/>
      <x:c r="K151" s="6"/>
      <x:c r="L151" s="6"/>
      <x:c r="M151" s="6"/>
      <x:c r="N151" s="6"/>
      <x:c r="O151" s="6"/>
      <x:c r="P151" s="6"/>
      <x:c r="Q151" s="6"/>
    </x:row>
    <x:row r="152" ht="19" customHeight="1">
      <x:c r="A152" s="6"/>
      <x:c r="B152" s="6"/>
      <x:c r="C152" s="6"/>
      <x:c r="D152" s="6"/>
      <x:c r="E152" s="6"/>
      <x:c r="F152" s="6"/>
      <x:c r="G152" s="6"/>
      <x:c r="H152" s="6"/>
      <x:c r="I152" s="6"/>
      <x:c r="J152" s="6"/>
      <x:c r="K152" s="6"/>
      <x:c r="L152" s="6"/>
      <x:c r="M152" s="6"/>
      <x:c r="N152" s="6"/>
      <x:c r="O152" s="6"/>
      <x:c r="P152" s="6"/>
      <x:c r="Q152" s="6"/>
    </x:row>
    <x:row r="153" ht="19" customHeight="1">
      <x:c r="A153" s="6"/>
      <x:c r="B153" s="6"/>
      <x:c r="C153" s="6"/>
      <x:c r="D153" s="6"/>
      <x:c r="E153" s="6"/>
      <x:c r="F153" s="6"/>
      <x:c r="G153" s="6"/>
      <x:c r="H153" s="6"/>
      <x:c r="I153" s="6"/>
      <x:c r="J153" s="6"/>
      <x:c r="K153" s="6"/>
      <x:c r="L153" s="6"/>
      <x:c r="M153" s="6"/>
      <x:c r="N153" s="6"/>
      <x:c r="O153" s="6"/>
      <x:c r="P153" s="6"/>
      <x:c r="Q153" s="6"/>
    </x:row>
    <x:row r="154" ht="19" customHeight="1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  <x:c r="K154" s="6"/>
      <x:c r="L154" s="6"/>
      <x:c r="M154" s="6"/>
      <x:c r="N154" s="6"/>
      <x:c r="O154" s="6"/>
      <x:c r="P154" s="6"/>
      <x:c r="Q154" s="6"/>
    </x:row>
    <x:row r="155" ht="19" customHeight="1">
      <x:c r="A155" s="6"/>
      <x:c r="B155" s="6"/>
      <x:c r="C155" s="6"/>
      <x:c r="D155" s="6"/>
      <x:c r="E155" s="6"/>
      <x:c r="F155" s="6"/>
      <x:c r="G155" s="6"/>
      <x:c r="H155" s="6"/>
      <x:c r="I155" s="6"/>
      <x:c r="J155" s="6"/>
      <x:c r="K155" s="6"/>
      <x:c r="L155" s="6"/>
      <x:c r="M155" s="6"/>
      <x:c r="N155" s="6"/>
      <x:c r="O155" s="6"/>
      <x:c r="P155" s="6"/>
      <x:c r="Q155" s="6"/>
    </x:row>
    <x:row r="156" ht="19" customHeight="1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  <x:c r="K156" s="6"/>
      <x:c r="L156" s="6"/>
      <x:c r="M156" s="6"/>
      <x:c r="N156" s="6"/>
      <x:c r="O156" s="6"/>
      <x:c r="P156" s="6"/>
      <x:c r="Q156" s="6"/>
    </x:row>
    <x:row r="157" ht="19" customHeight="1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  <x:c r="K157" s="6"/>
      <x:c r="L157" s="6"/>
      <x:c r="M157" s="6"/>
      <x:c r="N157" s="6"/>
      <x:c r="O157" s="6"/>
      <x:c r="P157" s="6"/>
      <x:c r="Q157" s="6"/>
    </x:row>
    <x:row r="158" ht="19" customHeight="1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  <x:c r="K158" s="6"/>
      <x:c r="L158" s="6"/>
      <x:c r="M158" s="6"/>
      <x:c r="N158" s="6"/>
      <x:c r="O158" s="6"/>
      <x:c r="P158" s="6"/>
      <x:c r="Q158" s="6"/>
    </x:row>
    <x:row r="159" ht="19" customHeight="1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  <x:c r="K159" s="6"/>
      <x:c r="L159" s="6"/>
      <x:c r="M159" s="6"/>
      <x:c r="N159" s="6"/>
      <x:c r="O159" s="6"/>
      <x:c r="P159" s="6"/>
      <x:c r="Q159" s="6"/>
    </x:row>
    <x:row r="160" ht="19" customHeight="1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  <x:c r="K160" s="6"/>
      <x:c r="L160" s="6"/>
      <x:c r="M160" s="6"/>
      <x:c r="N160" s="6"/>
      <x:c r="O160" s="6"/>
      <x:c r="P160" s="6"/>
      <x:c r="Q160" s="6"/>
    </x:row>
    <x:row r="161" ht="19" customHeight="1">
      <x:c r="A161" s="6"/>
      <x:c r="B161" s="6"/>
      <x:c r="C161" s="6"/>
      <x:c r="D161" s="6"/>
      <x:c r="E161" s="6"/>
      <x:c r="F161" s="6"/>
      <x:c r="G161" s="6"/>
      <x:c r="H161" s="6"/>
      <x:c r="I161" s="6"/>
      <x:c r="J161" s="6"/>
      <x:c r="K161" s="6"/>
      <x:c r="L161" s="6"/>
      <x:c r="M161" s="6"/>
      <x:c r="N161" s="6"/>
      <x:c r="O161" s="6"/>
      <x:c r="P161" s="6"/>
      <x:c r="Q161" s="6"/>
    </x:row>
    <x:row r="162" ht="19" customHeight="1">
      <x:c r="A162" s="6"/>
      <x:c r="B162" s="6"/>
      <x:c r="C162" s="6"/>
      <x:c r="D162" s="6"/>
      <x:c r="E162" s="6"/>
      <x:c r="F162" s="6"/>
      <x:c r="G162" s="6"/>
      <x:c r="H162" s="6"/>
      <x:c r="I162" s="6"/>
      <x:c r="J162" s="6"/>
      <x:c r="K162" s="6"/>
      <x:c r="L162" s="6"/>
      <x:c r="M162" s="6"/>
      <x:c r="N162" s="6"/>
      <x:c r="O162" s="6"/>
      <x:c r="P162" s="6"/>
      <x:c r="Q162" s="6"/>
    </x:row>
    <x:row r="163" ht="19" customHeight="1">
      <x:c r="A163" s="6"/>
      <x:c r="B163" s="6"/>
      <x:c r="C163" s="6"/>
      <x:c r="D163" s="6"/>
      <x:c r="E163" s="6"/>
      <x:c r="F163" s="6"/>
      <x:c r="G163" s="6"/>
      <x:c r="H163" s="6"/>
      <x:c r="I163" s="6"/>
      <x:c r="J163" s="6"/>
      <x:c r="K163" s="6"/>
      <x:c r="L163" s="6"/>
      <x:c r="M163" s="6"/>
      <x:c r="N163" s="6"/>
      <x:c r="O163" s="6"/>
      <x:c r="P163" s="6"/>
      <x:c r="Q163" s="6"/>
    </x:row>
    <x:row r="164" ht="19" customHeight="1">
      <x:c r="A164" s="6"/>
      <x:c r="B164" s="6"/>
      <x:c r="C164" s="6"/>
      <x:c r="D164" s="6"/>
      <x:c r="E164" s="6"/>
      <x:c r="F164" s="6"/>
      <x:c r="G164" s="6"/>
      <x:c r="H164" s="6"/>
      <x:c r="I164" s="6"/>
      <x:c r="J164" s="6"/>
      <x:c r="K164" s="6"/>
      <x:c r="L164" s="6"/>
      <x:c r="M164" s="6"/>
      <x:c r="N164" s="6"/>
      <x:c r="O164" s="6"/>
      <x:c r="P164" s="6"/>
      <x:c r="Q164" s="6"/>
    </x:row>
    <x:row r="165" ht="19" customHeight="1">
      <x:c r="A165" s="6"/>
      <x:c r="B165" s="6"/>
      <x:c r="C165" s="6"/>
      <x:c r="D165" s="6"/>
      <x:c r="E165" s="6"/>
      <x:c r="F165" s="6"/>
      <x:c r="G165" s="6"/>
      <x:c r="H165" s="6"/>
      <x:c r="I165" s="6"/>
      <x:c r="J165" s="6"/>
      <x:c r="K165" s="6"/>
      <x:c r="L165" s="6"/>
      <x:c r="M165" s="6"/>
      <x:c r="N165" s="6"/>
      <x:c r="O165" s="6"/>
      <x:c r="P165" s="6"/>
      <x:c r="Q165" s="6"/>
    </x:row>
    <x:row r="166" ht="19" customHeight="1">
      <x:c r="A166" s="6"/>
      <x:c r="B166" s="6"/>
      <x:c r="C166" s="6"/>
      <x:c r="D166" s="6"/>
      <x:c r="E166" s="6"/>
      <x:c r="F166" s="6"/>
      <x:c r="G166" s="6"/>
      <x:c r="H166" s="6"/>
      <x:c r="I166" s="6"/>
      <x:c r="J166" s="6"/>
      <x:c r="K166" s="6"/>
      <x:c r="L166" s="6"/>
      <x:c r="M166" s="6"/>
      <x:c r="N166" s="6"/>
      <x:c r="O166" s="6"/>
      <x:c r="P166" s="6"/>
      <x:c r="Q166" s="6"/>
    </x:row>
    <x:row r="167" ht="19" customHeight="1">
      <x:c r="A167" s="6"/>
      <x:c r="B167" s="6"/>
      <x:c r="C167" s="6"/>
      <x:c r="D167" s="6"/>
      <x:c r="E167" s="6"/>
      <x:c r="F167" s="6"/>
      <x:c r="G167" s="6"/>
      <x:c r="H167" s="6"/>
      <x:c r="I167" s="6"/>
      <x:c r="J167" s="6"/>
      <x:c r="K167" s="6"/>
      <x:c r="L167" s="6"/>
      <x:c r="M167" s="6"/>
      <x:c r="N167" s="6"/>
      <x:c r="O167" s="6"/>
      <x:c r="P167" s="6"/>
      <x:c r="Q167" s="6"/>
    </x:row>
    <x:row r="168" ht="19" customHeight="1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  <x:c r="K168" s="6"/>
      <x:c r="L168" s="6"/>
      <x:c r="M168" s="6"/>
      <x:c r="N168" s="6"/>
      <x:c r="O168" s="6"/>
      <x:c r="P168" s="6"/>
      <x:c r="Q168" s="6"/>
    </x:row>
    <x:row r="169" ht="19" customHeight="1">
      <x:c r="A169" s="6"/>
      <x:c r="B169" s="6"/>
      <x:c r="C169" s="6"/>
      <x:c r="D169" s="6"/>
      <x:c r="E169" s="6"/>
      <x:c r="F169" s="6"/>
      <x:c r="G169" s="6"/>
      <x:c r="H169" s="6"/>
      <x:c r="I169" s="6"/>
      <x:c r="J169" s="6"/>
      <x:c r="K169" s="6"/>
      <x:c r="L169" s="6"/>
      <x:c r="M169" s="6"/>
      <x:c r="N169" s="6"/>
      <x:c r="O169" s="6"/>
      <x:c r="P169" s="6"/>
      <x:c r="Q169" s="6"/>
    </x:row>
    <x:row r="170" ht="19" customHeight="1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  <x:c r="K170" s="6"/>
      <x:c r="L170" s="6"/>
      <x:c r="M170" s="6"/>
      <x:c r="N170" s="6"/>
      <x:c r="O170" s="6"/>
      <x:c r="P170" s="6"/>
      <x:c r="Q170" s="6"/>
    </x:row>
    <x:row r="171" ht="19" customHeight="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  <x:c r="M171" s="6"/>
      <x:c r="N171" s="6"/>
      <x:c r="O171" s="6"/>
      <x:c r="P171" s="6"/>
      <x:c r="Q171" s="6"/>
    </x:row>
    <x:row r="172" ht="19" customHeight="1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  <x:c r="K172" s="6"/>
      <x:c r="L172" s="6"/>
      <x:c r="M172" s="6"/>
      <x:c r="N172" s="6"/>
      <x:c r="O172" s="6"/>
      <x:c r="P172" s="6"/>
      <x:c r="Q172" s="6"/>
    </x:row>
    <x:row r="173" ht="19" customHeight="1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  <x:c r="K173" s="6"/>
      <x:c r="L173" s="6"/>
      <x:c r="M173" s="6"/>
      <x:c r="N173" s="6"/>
      <x:c r="O173" s="6"/>
      <x:c r="P173" s="6"/>
      <x:c r="Q173" s="6"/>
    </x:row>
    <x:row r="174" ht="19" customHeight="1">
      <x:c r="A174" s="6"/>
      <x:c r="B174" s="6"/>
      <x:c r="C174" s="6"/>
      <x:c r="D174" s="6"/>
      <x:c r="E174" s="6"/>
      <x:c r="F174" s="6"/>
      <x:c r="G174" s="6"/>
      <x:c r="H174" s="6"/>
      <x:c r="I174" s="6"/>
      <x:c r="J174" s="6"/>
      <x:c r="K174" s="6"/>
      <x:c r="L174" s="6"/>
      <x:c r="M174" s="6"/>
      <x:c r="N174" s="6"/>
      <x:c r="O174" s="6"/>
      <x:c r="P174" s="6"/>
      <x:c r="Q174" s="6"/>
    </x:row>
    <x:row r="175" ht="19" customHeight="1">
      <x:c r="A175" s="6"/>
      <x:c r="B175" s="6"/>
      <x:c r="C175" s="6"/>
      <x:c r="D175" s="6"/>
      <x:c r="E175" s="6"/>
      <x:c r="F175" s="6"/>
      <x:c r="G175" s="6"/>
      <x:c r="H175" s="6"/>
      <x:c r="I175" s="6"/>
      <x:c r="J175" s="6"/>
      <x:c r="K175" s="6"/>
      <x:c r="L175" s="6"/>
      <x:c r="M175" s="6"/>
      <x:c r="N175" s="6"/>
      <x:c r="O175" s="6"/>
      <x:c r="P175" s="6"/>
      <x:c r="Q175" s="6"/>
    </x:row>
    <x:row r="176" ht="19" customHeight="1">
      <x:c r="A176" s="6"/>
      <x:c r="B176" s="6"/>
      <x:c r="C176" s="6"/>
      <x:c r="D176" s="6"/>
      <x:c r="E176" s="6"/>
      <x:c r="F176" s="6"/>
      <x:c r="G176" s="6"/>
      <x:c r="H176" s="6"/>
      <x:c r="I176" s="6"/>
      <x:c r="J176" s="6"/>
      <x:c r="K176" s="6"/>
      <x:c r="L176" s="6"/>
      <x:c r="M176" s="6"/>
      <x:c r="N176" s="6"/>
      <x:c r="O176" s="6"/>
      <x:c r="P176" s="6"/>
      <x:c r="Q176" s="6"/>
    </x:row>
    <x:row r="177" ht="19" customHeight="1">
      <x:c r="A177" s="6"/>
      <x:c r="B177" s="6"/>
      <x:c r="C177" s="6"/>
      <x:c r="D177" s="6"/>
      <x:c r="E177" s="6"/>
      <x:c r="F177" s="6"/>
      <x:c r="G177" s="6"/>
      <x:c r="H177" s="6"/>
      <x:c r="I177" s="6"/>
      <x:c r="J177" s="6"/>
      <x:c r="K177" s="6"/>
      <x:c r="L177" s="6"/>
      <x:c r="M177" s="6"/>
      <x:c r="N177" s="6"/>
      <x:c r="O177" s="6"/>
      <x:c r="P177" s="6"/>
      <x:c r="Q177" s="6"/>
    </x:row>
    <x:row r="178" ht="19" customHeight="1">
      <x:c r="A178" s="6"/>
      <x:c r="B178" s="6"/>
      <x:c r="C178" s="6"/>
      <x:c r="D178" s="6"/>
      <x:c r="E178" s="6"/>
      <x:c r="F178" s="6"/>
      <x:c r="G178" s="6"/>
      <x:c r="H178" s="6"/>
      <x:c r="I178" s="6"/>
      <x:c r="J178" s="6"/>
      <x:c r="K178" s="6"/>
      <x:c r="L178" s="6"/>
      <x:c r="M178" s="6"/>
      <x:c r="N178" s="6"/>
      <x:c r="O178" s="6"/>
      <x:c r="P178" s="6"/>
      <x:c r="Q178" s="6"/>
    </x:row>
    <x:row r="179" ht="19" customHeight="1">
      <x:c r="A179" s="6"/>
      <x:c r="B179" s="6"/>
      <x:c r="C179" s="6"/>
      <x:c r="D179" s="6"/>
      <x:c r="E179" s="6"/>
      <x:c r="F179" s="6"/>
      <x:c r="G179" s="6"/>
      <x:c r="H179" s="6"/>
      <x:c r="I179" s="6"/>
      <x:c r="J179" s="6"/>
      <x:c r="K179" s="6"/>
      <x:c r="L179" s="6"/>
      <x:c r="M179" s="6"/>
      <x:c r="N179" s="6"/>
      <x:c r="O179" s="6"/>
      <x:c r="P179" s="6"/>
      <x:c r="Q179" s="6"/>
    </x:row>
    <x:row r="180" ht="19" customHeight="1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  <x:c r="K180" s="6"/>
      <x:c r="L180" s="6"/>
      <x:c r="M180" s="6"/>
      <x:c r="N180" s="6"/>
      <x:c r="O180" s="6"/>
      <x:c r="P180" s="6"/>
      <x:c r="Q180" s="6"/>
    </x:row>
    <x:row r="181" ht="19" customHeight="1">
      <x:c r="A181" s="6"/>
      <x:c r="B181" s="6"/>
      <x:c r="C181" s="6"/>
      <x:c r="D181" s="6"/>
      <x:c r="E181" s="6"/>
      <x:c r="F181" s="6"/>
      <x:c r="G181" s="6"/>
      <x:c r="H181" s="6"/>
      <x:c r="I181" s="6"/>
      <x:c r="J181" s="6"/>
      <x:c r="K181" s="6"/>
      <x:c r="L181" s="6"/>
      <x:c r="M181" s="6"/>
      <x:c r="N181" s="6"/>
      <x:c r="O181" s="6"/>
      <x:c r="P181" s="6"/>
      <x:c r="Q181" s="6"/>
    </x:row>
    <x:row r="182" ht="19" customHeight="1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  <x:c r="K182" s="6"/>
      <x:c r="L182" s="6"/>
      <x:c r="M182" s="6"/>
      <x:c r="N182" s="6"/>
      <x:c r="O182" s="6"/>
      <x:c r="P182" s="6"/>
      <x:c r="Q182" s="6"/>
    </x:row>
    <x:row r="183" ht="19" customHeight="1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  <x:c r="M183" s="6"/>
      <x:c r="N183" s="6"/>
      <x:c r="O183" s="6"/>
      <x:c r="P183" s="6"/>
      <x:c r="Q183" s="6"/>
    </x:row>
    <x:row r="184" ht="19" customHeight="1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  <x:c r="K184" s="6"/>
      <x:c r="L184" s="6"/>
      <x:c r="M184" s="6"/>
      <x:c r="N184" s="6"/>
      <x:c r="O184" s="6"/>
      <x:c r="P184" s="6"/>
      <x:c r="Q184" s="6"/>
    </x:row>
    <x:row r="185" ht="19" customHeight="1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  <x:c r="M185" s="6"/>
      <x:c r="N185" s="6"/>
      <x:c r="O185" s="6"/>
      <x:c r="P185" s="6"/>
      <x:c r="Q185" s="6"/>
    </x:row>
    <x:row r="186" ht="19" customHeight="1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  <x:c r="K186" s="6"/>
      <x:c r="L186" s="6"/>
      <x:c r="M186" s="6"/>
      <x:c r="N186" s="6"/>
      <x:c r="O186" s="6"/>
      <x:c r="P186" s="6"/>
      <x:c r="Q186" s="6"/>
    </x:row>
    <x:row r="187" ht="19" customHeight="1">
      <x:c r="A187" s="6"/>
      <x:c r="B187" s="6"/>
      <x:c r="C187" s="6"/>
      <x:c r="D187" s="6"/>
      <x:c r="E187" s="6"/>
      <x:c r="F187" s="6"/>
      <x:c r="G187" s="6"/>
      <x:c r="H187" s="6"/>
      <x:c r="I187" s="6"/>
      <x:c r="J187" s="6"/>
      <x:c r="K187" s="6"/>
      <x:c r="L187" s="6"/>
      <x:c r="M187" s="6"/>
      <x:c r="N187" s="6"/>
      <x:c r="O187" s="6"/>
      <x:c r="P187" s="6"/>
      <x:c r="Q187" s="6"/>
    </x:row>
    <x:row r="188" ht="19" customHeight="1">
      <x:c r="A188" s="6"/>
      <x:c r="B188" s="6"/>
      <x:c r="C188" s="6"/>
      <x:c r="D188" s="6"/>
      <x:c r="E188" s="6"/>
      <x:c r="F188" s="6"/>
      <x:c r="G188" s="6"/>
      <x:c r="H188" s="6"/>
      <x:c r="I188" s="6"/>
      <x:c r="J188" s="6"/>
      <x:c r="K188" s="6"/>
      <x:c r="L188" s="6"/>
      <x:c r="M188" s="6"/>
      <x:c r="N188" s="6"/>
      <x:c r="O188" s="6"/>
      <x:c r="P188" s="6"/>
      <x:c r="Q188" s="6"/>
    </x:row>
    <x:row r="189" ht="19" customHeight="1">
      <x:c r="A189" s="6"/>
      <x:c r="B189" s="6"/>
      <x:c r="C189" s="6"/>
      <x:c r="D189" s="6"/>
      <x:c r="E189" s="6"/>
      <x:c r="F189" s="6"/>
      <x:c r="G189" s="6"/>
      <x:c r="H189" s="6"/>
      <x:c r="I189" s="6"/>
      <x:c r="J189" s="6"/>
      <x:c r="K189" s="6"/>
      <x:c r="L189" s="6"/>
      <x:c r="M189" s="6"/>
      <x:c r="N189" s="6"/>
      <x:c r="O189" s="6"/>
      <x:c r="P189" s="6"/>
      <x:c r="Q189" s="6"/>
    </x:row>
    <x:row r="190" ht="19" customHeight="1">
      <x:c r="A190" s="6"/>
      <x:c r="B190" s="6"/>
      <x:c r="C190" s="6"/>
      <x:c r="D190" s="6"/>
      <x:c r="E190" s="6"/>
      <x:c r="F190" s="6"/>
      <x:c r="G190" s="6"/>
      <x:c r="H190" s="6"/>
      <x:c r="I190" s="6"/>
      <x:c r="J190" s="6"/>
      <x:c r="K190" s="6"/>
      <x:c r="L190" s="6"/>
      <x:c r="M190" s="6"/>
      <x:c r="N190" s="6"/>
      <x:c r="O190" s="6"/>
      <x:c r="P190" s="6"/>
      <x:c r="Q190" s="6"/>
    </x:row>
    <x:row r="191" ht="19" customHeight="1">
      <x:c r="A191" s="6"/>
      <x:c r="B191" s="6"/>
      <x:c r="C191" s="6"/>
      <x:c r="D191" s="6"/>
      <x:c r="E191" s="6"/>
      <x:c r="F191" s="6"/>
      <x:c r="G191" s="6"/>
      <x:c r="H191" s="6"/>
      <x:c r="I191" s="6"/>
      <x:c r="J191" s="6"/>
      <x:c r="K191" s="6"/>
      <x:c r="L191" s="6"/>
      <x:c r="M191" s="6"/>
      <x:c r="N191" s="6"/>
      <x:c r="O191" s="6"/>
      <x:c r="P191" s="6"/>
      <x:c r="Q191" s="6"/>
    </x:row>
    <x:row r="192" ht="19" customHeight="1">
      <x:c r="A192" s="6"/>
      <x:c r="B192" s="6"/>
      <x:c r="C192" s="6"/>
      <x:c r="D192" s="6"/>
      <x:c r="E192" s="6"/>
      <x:c r="F192" s="6"/>
      <x:c r="G192" s="6"/>
      <x:c r="H192" s="6"/>
      <x:c r="I192" s="6"/>
      <x:c r="J192" s="6"/>
      <x:c r="K192" s="6"/>
      <x:c r="L192" s="6"/>
      <x:c r="M192" s="6"/>
      <x:c r="N192" s="6"/>
      <x:c r="O192" s="6"/>
      <x:c r="P192" s="6"/>
      <x:c r="Q192" s="6"/>
    </x:row>
    <x:row r="193" ht="19" customHeight="1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  <x:c r="M193" s="6"/>
      <x:c r="N193" s="6"/>
      <x:c r="O193" s="6"/>
      <x:c r="P193" s="6"/>
      <x:c r="Q193" s="6"/>
    </x:row>
    <x:row r="194" ht="19" customHeight="1">
      <x:c r="A194" s="6"/>
      <x:c r="B194" s="6"/>
      <x:c r="C194" s="6"/>
      <x:c r="D194" s="6"/>
      <x:c r="E194" s="6"/>
      <x:c r="F194" s="6"/>
      <x:c r="G194" s="6"/>
      <x:c r="H194" s="6"/>
      <x:c r="I194" s="6"/>
      <x:c r="J194" s="6"/>
      <x:c r="K194" s="6"/>
      <x:c r="L194" s="6"/>
      <x:c r="M194" s="6"/>
      <x:c r="N194" s="6"/>
      <x:c r="O194" s="6"/>
      <x:c r="P194" s="6"/>
      <x:c r="Q194" s="6"/>
    </x:row>
    <x:row r="195" ht="19" customHeight="1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  <x:c r="M195" s="6"/>
      <x:c r="N195" s="6"/>
      <x:c r="O195" s="6"/>
      <x:c r="P195" s="6"/>
      <x:c r="Q195" s="6"/>
    </x:row>
    <x:row r="196" ht="19" customHeight="1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  <x:c r="K196" s="6"/>
      <x:c r="L196" s="6"/>
      <x:c r="M196" s="6"/>
      <x:c r="N196" s="6"/>
      <x:c r="O196" s="6"/>
      <x:c r="P196" s="6"/>
      <x:c r="Q196" s="6"/>
    </x:row>
    <x:row r="197" ht="19" customHeight="1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  <x:c r="K197" s="6"/>
      <x:c r="L197" s="6"/>
      <x:c r="M197" s="6"/>
      <x:c r="N197" s="6"/>
      <x:c r="O197" s="6"/>
      <x:c r="P197" s="6"/>
      <x:c r="Q197" s="6"/>
    </x:row>
    <x:row r="198" ht="19" customHeight="1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  <x:c r="K198" s="6"/>
      <x:c r="L198" s="6"/>
      <x:c r="M198" s="6"/>
      <x:c r="N198" s="6"/>
      <x:c r="O198" s="6"/>
      <x:c r="P198" s="6"/>
      <x:c r="Q198" s="6"/>
    </x:row>
    <x:row r="199" ht="19" customHeight="1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  <x:c r="K199" s="6"/>
      <x:c r="L199" s="6"/>
      <x:c r="M199" s="6"/>
      <x:c r="N199" s="6"/>
      <x:c r="O199" s="6"/>
      <x:c r="P199" s="6"/>
      <x:c r="Q199" s="6"/>
    </x:row>
    <x:row r="200" ht="19" customHeight="1">
      <x:c r="A200" s="6"/>
      <x:c r="B200" s="6"/>
      <x:c r="C200" s="6"/>
      <x:c r="D200" s="6"/>
      <x:c r="E200" s="6"/>
      <x:c r="F200" s="6"/>
      <x:c r="G200" s="6"/>
      <x:c r="H200" s="6"/>
      <x:c r="I200" s="6"/>
      <x:c r="J200" s="6"/>
      <x:c r="K200" s="6"/>
      <x:c r="L200" s="6"/>
      <x:c r="M200" s="6"/>
      <x:c r="N200" s="6"/>
      <x:c r="O200" s="6"/>
      <x:c r="P200" s="6"/>
      <x:c r="Q200" s="6"/>
    </x:row>
    <x:row r="201" ht="19" customHeight="1">
      <x:c r="A201" s="6"/>
      <x:c r="B201" s="6"/>
      <x:c r="C201" s="6"/>
      <x:c r="D201" s="6"/>
      <x:c r="E201" s="6"/>
      <x:c r="F201" s="6"/>
      <x:c r="G201" s="6"/>
      <x:c r="H201" s="6"/>
      <x:c r="I201" s="6"/>
      <x:c r="J201" s="6"/>
      <x:c r="K201" s="6"/>
      <x:c r="L201" s="6"/>
      <x:c r="M201" s="6"/>
      <x:c r="N201" s="6"/>
      <x:c r="O201" s="6"/>
      <x:c r="P201" s="6"/>
      <x:c r="Q201" s="6"/>
    </x:row>
    <x:row r="202" ht="19" customHeight="1">
      <x:c r="A202" s="6"/>
      <x:c r="B202" s="6"/>
      <x:c r="C202" s="6"/>
      <x:c r="D202" s="6"/>
      <x:c r="E202" s="6"/>
      <x:c r="F202" s="6"/>
      <x:c r="G202" s="6"/>
      <x:c r="H202" s="6"/>
      <x:c r="I202" s="6"/>
      <x:c r="J202" s="6"/>
      <x:c r="K202" s="6"/>
      <x:c r="L202" s="6"/>
      <x:c r="M202" s="6"/>
      <x:c r="N202" s="6"/>
      <x:c r="O202" s="6"/>
      <x:c r="P202" s="6"/>
      <x:c r="Q202" s="6"/>
    </x:row>
    <x:row r="203" ht="19" customHeight="1">
      <x:c r="A203" s="6"/>
      <x:c r="B203" s="6"/>
      <x:c r="C203" s="6"/>
      <x:c r="D203" s="6"/>
      <x:c r="E203" s="6"/>
      <x:c r="F203" s="6"/>
      <x:c r="G203" s="6"/>
      <x:c r="H203" s="6"/>
      <x:c r="I203" s="6"/>
      <x:c r="J203" s="6"/>
      <x:c r="K203" s="6"/>
      <x:c r="L203" s="6"/>
      <x:c r="M203" s="6"/>
      <x:c r="N203" s="6"/>
      <x:c r="O203" s="6"/>
      <x:c r="P203" s="6"/>
      <x:c r="Q203" s="6"/>
    </x:row>
    <x:row r="204" ht="19" customHeight="1">
      <x:c r="A204" s="6"/>
      <x:c r="B204" s="6"/>
      <x:c r="C204" s="6"/>
      <x:c r="D204" s="6"/>
      <x:c r="E204" s="6"/>
      <x:c r="F204" s="6"/>
      <x:c r="G204" s="6"/>
      <x:c r="H204" s="6"/>
      <x:c r="I204" s="6"/>
      <x:c r="J204" s="6"/>
      <x:c r="K204" s="6"/>
      <x:c r="L204" s="6"/>
      <x:c r="M204" s="6"/>
      <x:c r="N204" s="6"/>
      <x:c r="O204" s="6"/>
      <x:c r="P204" s="6"/>
      <x:c r="Q204" s="6"/>
    </x:row>
    <x:row r="205" ht="19" customHeight="1">
      <x:c r="A205" s="6"/>
      <x:c r="B205" s="6"/>
      <x:c r="C205" s="6"/>
      <x:c r="D205" s="6"/>
      <x:c r="E205" s="6"/>
      <x:c r="F205" s="6"/>
      <x:c r="G205" s="6"/>
      <x:c r="H205" s="6"/>
      <x:c r="I205" s="6"/>
      <x:c r="J205" s="6"/>
      <x:c r="K205" s="6"/>
      <x:c r="L205" s="6"/>
      <x:c r="M205" s="6"/>
      <x:c r="N205" s="6"/>
      <x:c r="O205" s="6"/>
      <x:c r="P205" s="6"/>
      <x:c r="Q205" s="6"/>
    </x:row>
    <x:row r="206" ht="19" customHeight="1">
      <x:c r="A206" s="6"/>
      <x:c r="B206" s="6"/>
      <x:c r="C206" s="6"/>
      <x:c r="D206" s="6"/>
      <x:c r="E206" s="6"/>
      <x:c r="F206" s="6"/>
      <x:c r="G206" s="6"/>
      <x:c r="H206" s="6"/>
      <x:c r="I206" s="6"/>
      <x:c r="J206" s="6"/>
      <x:c r="K206" s="6"/>
      <x:c r="L206" s="6"/>
      <x:c r="M206" s="6"/>
      <x:c r="N206" s="6"/>
      <x:c r="O206" s="6"/>
      <x:c r="P206" s="6"/>
      <x:c r="Q206" s="6"/>
    </x:row>
    <x:row r="207" ht="19" customHeight="1">
      <x:c r="A207" s="6"/>
      <x:c r="B207" s="6"/>
      <x:c r="C207" s="6"/>
      <x:c r="D207" s="6"/>
      <x:c r="E207" s="6"/>
      <x:c r="F207" s="6"/>
      <x:c r="G207" s="6"/>
      <x:c r="H207" s="6"/>
      <x:c r="I207" s="6"/>
      <x:c r="J207" s="6"/>
      <x:c r="K207" s="6"/>
      <x:c r="L207" s="6"/>
      <x:c r="M207" s="6"/>
      <x:c r="N207" s="6"/>
      <x:c r="O207" s="6"/>
      <x:c r="P207" s="6"/>
      <x:c r="Q207" s="6"/>
    </x:row>
    <x:row r="208" ht="19" customHeight="1">
      <x:c r="A208" s="6"/>
      <x:c r="B208" s="6"/>
      <x:c r="C208" s="6"/>
      <x:c r="D208" s="6"/>
      <x:c r="E208" s="6"/>
      <x:c r="F208" s="6"/>
      <x:c r="G208" s="6"/>
      <x:c r="H208" s="6"/>
      <x:c r="I208" s="6"/>
      <x:c r="J208" s="6"/>
      <x:c r="K208" s="6"/>
      <x:c r="L208" s="6"/>
      <x:c r="M208" s="6"/>
      <x:c r="N208" s="6"/>
      <x:c r="O208" s="6"/>
      <x:c r="P208" s="6"/>
      <x:c r="Q208" s="6"/>
    </x:row>
    <x:row r="209" ht="19" customHeight="1">
      <x:c r="A209" s="6"/>
      <x:c r="B209" s="6"/>
      <x:c r="C209" s="6"/>
      <x:c r="D209" s="6"/>
      <x:c r="E209" s="6"/>
      <x:c r="F209" s="6"/>
      <x:c r="G209" s="6"/>
      <x:c r="H209" s="6"/>
      <x:c r="I209" s="6"/>
      <x:c r="J209" s="6"/>
      <x:c r="K209" s="6"/>
      <x:c r="L209" s="6"/>
      <x:c r="M209" s="6"/>
      <x:c r="N209" s="6"/>
      <x:c r="O209" s="6"/>
      <x:c r="P209" s="6"/>
      <x:c r="Q209" s="6"/>
    </x:row>
    <x:row r="210" ht="19" customHeight="1">
      <x:c r="A210" s="6"/>
      <x:c r="B210" s="6"/>
      <x:c r="C210" s="6"/>
      <x:c r="D210" s="6"/>
      <x:c r="E210" s="6"/>
      <x:c r="F210" s="6"/>
      <x:c r="G210" s="6"/>
      <x:c r="H210" s="6"/>
      <x:c r="I210" s="6"/>
      <x:c r="J210" s="6"/>
      <x:c r="K210" s="6"/>
      <x:c r="L210" s="6"/>
      <x:c r="M210" s="6"/>
      <x:c r="N210" s="6"/>
      <x:c r="O210" s="6"/>
      <x:c r="P210" s="6"/>
      <x:c r="Q210" s="6"/>
    </x:row>
    <x:row r="211" ht="19" customHeight="1">
      <x:c r="A211" s="6"/>
      <x:c r="B211" s="6"/>
      <x:c r="C211" s="6"/>
      <x:c r="D211" s="6"/>
      <x:c r="E211" s="6"/>
      <x:c r="F211" s="6"/>
      <x:c r="G211" s="6"/>
      <x:c r="H211" s="6"/>
      <x:c r="I211" s="6"/>
      <x:c r="J211" s="6"/>
      <x:c r="K211" s="6"/>
      <x:c r="L211" s="6"/>
      <x:c r="M211" s="6"/>
      <x:c r="N211" s="6"/>
      <x:c r="O211" s="6"/>
      <x:c r="P211" s="6"/>
      <x:c r="Q211" s="6"/>
    </x:row>
    <x:row r="212" ht="19" customHeight="1">
      <x:c r="A212" s="6"/>
      <x:c r="B212" s="6"/>
      <x:c r="C212" s="6"/>
      <x:c r="D212" s="6"/>
      <x:c r="E212" s="6"/>
      <x:c r="F212" s="6"/>
      <x:c r="G212" s="6"/>
      <x:c r="H212" s="6"/>
      <x:c r="I212" s="6"/>
      <x:c r="J212" s="6"/>
      <x:c r="K212" s="6"/>
      <x:c r="L212" s="6"/>
      <x:c r="M212" s="6"/>
      <x:c r="N212" s="6"/>
      <x:c r="O212" s="6"/>
      <x:c r="P212" s="6"/>
      <x:c r="Q212" s="6"/>
    </x:row>
    <x:row r="213" ht="19" customHeight="1">
      <x:c r="A213" s="6"/>
      <x:c r="B213" s="6"/>
      <x:c r="C213" s="6"/>
      <x:c r="D213" s="6"/>
      <x:c r="E213" s="6"/>
      <x:c r="F213" s="6"/>
      <x:c r="G213" s="6"/>
      <x:c r="H213" s="6"/>
      <x:c r="I213" s="6"/>
      <x:c r="J213" s="6"/>
      <x:c r="K213" s="6"/>
      <x:c r="L213" s="6"/>
      <x:c r="M213" s="6"/>
      <x:c r="N213" s="6"/>
      <x:c r="O213" s="6"/>
      <x:c r="P213" s="6"/>
      <x:c r="Q213" s="6"/>
    </x:row>
    <x:row r="214" ht="19" customHeight="1">
      <x:c r="A214" s="6"/>
      <x:c r="B214" s="6"/>
      <x:c r="C214" s="6"/>
      <x:c r="D214" s="6"/>
      <x:c r="E214" s="6"/>
      <x:c r="F214" s="6"/>
      <x:c r="G214" s="6"/>
      <x:c r="H214" s="6"/>
      <x:c r="I214" s="6"/>
      <x:c r="J214" s="6"/>
      <x:c r="K214" s="6"/>
      <x:c r="L214" s="6"/>
      <x:c r="M214" s="6"/>
      <x:c r="N214" s="6"/>
      <x:c r="O214" s="6"/>
      <x:c r="P214" s="6"/>
      <x:c r="Q214" s="6"/>
    </x:row>
    <x:row r="215" ht="19" customHeight="1">
      <x:c r="A215" s="6"/>
      <x:c r="B215" s="6"/>
      <x:c r="C215" s="6"/>
      <x:c r="D215" s="6"/>
      <x:c r="E215" s="6"/>
      <x:c r="F215" s="6"/>
      <x:c r="G215" s="6"/>
      <x:c r="H215" s="6"/>
      <x:c r="I215" s="6"/>
      <x:c r="J215" s="6"/>
      <x:c r="K215" s="6"/>
      <x:c r="L215" s="6"/>
      <x:c r="M215" s="6"/>
      <x:c r="N215" s="6"/>
      <x:c r="O215" s="6"/>
      <x:c r="P215" s="6"/>
      <x:c r="Q215" s="6"/>
    </x:row>
    <x:row r="216" ht="19" customHeight="1">
      <x:c r="A216" s="6"/>
      <x:c r="B216" s="6"/>
      <x:c r="C216" s="6"/>
      <x:c r="D216" s="6"/>
      <x:c r="E216" s="6"/>
      <x:c r="F216" s="6"/>
      <x:c r="G216" s="6"/>
      <x:c r="H216" s="6"/>
      <x:c r="I216" s="6"/>
      <x:c r="J216" s="6"/>
      <x:c r="K216" s="6"/>
      <x:c r="L216" s="6"/>
      <x:c r="M216" s="6"/>
      <x:c r="N216" s="6"/>
      <x:c r="O216" s="6"/>
      <x:c r="P216" s="6"/>
      <x:c r="Q216" s="6"/>
    </x:row>
    <x:row r="217" ht="19" customHeight="1">
      <x:c r="A217" s="6"/>
      <x:c r="B217" s="6"/>
      <x:c r="C217" s="6"/>
      <x:c r="D217" s="6"/>
      <x:c r="E217" s="6"/>
      <x:c r="F217" s="6"/>
      <x:c r="G217" s="6"/>
      <x:c r="H217" s="6"/>
      <x:c r="I217" s="6"/>
      <x:c r="J217" s="6"/>
      <x:c r="K217" s="6"/>
      <x:c r="L217" s="6"/>
      <x:c r="M217" s="6"/>
      <x:c r="N217" s="6"/>
      <x:c r="O217" s="6"/>
      <x:c r="P217" s="6"/>
      <x:c r="Q217" s="6"/>
    </x:row>
    <x:row r="218" ht="19" customHeight="1">
      <x:c r="A218" s="6"/>
      <x:c r="B218" s="6"/>
      <x:c r="C218" s="6"/>
      <x:c r="D218" s="6"/>
      <x:c r="E218" s="6"/>
      <x:c r="F218" s="6"/>
      <x:c r="G218" s="6"/>
      <x:c r="H218" s="6"/>
      <x:c r="I218" s="6"/>
      <x:c r="J218" s="6"/>
      <x:c r="K218" s="6"/>
      <x:c r="L218" s="6"/>
      <x:c r="M218" s="6"/>
      <x:c r="N218" s="6"/>
      <x:c r="O218" s="6"/>
      <x:c r="P218" s="6"/>
      <x:c r="Q218" s="6"/>
    </x:row>
    <x:row r="219" ht="19" customHeight="1">
      <x:c r="A219" s="6"/>
      <x:c r="B219" s="6"/>
      <x:c r="C219" s="6"/>
      <x:c r="D219" s="6"/>
      <x:c r="E219" s="6"/>
      <x:c r="F219" s="6"/>
      <x:c r="G219" s="6"/>
      <x:c r="H219" s="6"/>
      <x:c r="I219" s="6"/>
      <x:c r="J219" s="6"/>
      <x:c r="K219" s="6"/>
      <x:c r="L219" s="6"/>
      <x:c r="M219" s="6"/>
      <x:c r="N219" s="6"/>
      <x:c r="O219" s="6"/>
      <x:c r="P219" s="6"/>
      <x:c r="Q219" s="6"/>
    </x:row>
    <x:row r="220" ht="19" customHeight="1">
      <x:c r="A220" s="6"/>
      <x:c r="B220" s="6"/>
      <x:c r="C220" s="6"/>
      <x:c r="D220" s="6"/>
      <x:c r="E220" s="6"/>
      <x:c r="F220" s="6"/>
      <x:c r="G220" s="6"/>
      <x:c r="H220" s="6"/>
      <x:c r="I220" s="6"/>
      <x:c r="J220" s="6"/>
      <x:c r="K220" s="6"/>
      <x:c r="L220" s="6"/>
      <x:c r="M220" s="6"/>
      <x:c r="N220" s="6"/>
      <x:c r="O220" s="6"/>
      <x:c r="P220" s="6"/>
      <x:c r="Q220" s="6"/>
    </x:row>
    <x:row r="221" ht="19" customHeight="1">
      <x:c r="A221" s="6"/>
      <x:c r="B221" s="6"/>
      <x:c r="C221" s="6"/>
      <x:c r="D221" s="6"/>
      <x:c r="E221" s="6"/>
      <x:c r="F221" s="6"/>
      <x:c r="G221" s="6"/>
      <x:c r="H221" s="6"/>
      <x:c r="I221" s="6"/>
      <x:c r="J221" s="6"/>
      <x:c r="K221" s="6"/>
      <x:c r="L221" s="6"/>
      <x:c r="M221" s="6"/>
      <x:c r="N221" s="6"/>
      <x:c r="O221" s="6"/>
      <x:c r="P221" s="6"/>
      <x:c r="Q221" s="6"/>
    </x:row>
    <x:row r="222" ht="19" customHeight="1">
      <x:c r="A222" s="6"/>
      <x:c r="B222" s="6"/>
      <x:c r="C222" s="6"/>
      <x:c r="D222" s="6"/>
      <x:c r="E222" s="6"/>
      <x:c r="F222" s="6"/>
      <x:c r="G222" s="6"/>
      <x:c r="H222" s="6"/>
      <x:c r="I222" s="6"/>
      <x:c r="J222" s="6"/>
      <x:c r="K222" s="6"/>
      <x:c r="L222" s="6"/>
      <x:c r="M222" s="6"/>
      <x:c r="N222" s="6"/>
      <x:c r="O222" s="6"/>
      <x:c r="P222" s="6"/>
      <x:c r="Q222" s="6"/>
    </x:row>
    <x:row r="223" ht="19" customHeight="1">
      <x:c r="A223" s="6"/>
      <x:c r="B223" s="6"/>
      <x:c r="C223" s="6"/>
      <x:c r="D223" s="6"/>
      <x:c r="E223" s="6"/>
      <x:c r="F223" s="6"/>
      <x:c r="G223" s="6"/>
      <x:c r="H223" s="6"/>
      <x:c r="I223" s="6"/>
      <x:c r="J223" s="6"/>
      <x:c r="K223" s="6"/>
      <x:c r="L223" s="6"/>
      <x:c r="M223" s="6"/>
      <x:c r="N223" s="6"/>
      <x:c r="O223" s="6"/>
      <x:c r="P223" s="6"/>
      <x:c r="Q223" s="6"/>
    </x:row>
    <x:row r="224" ht="19" customHeight="1">
      <x:c r="A224" s="6"/>
      <x:c r="B224" s="6"/>
      <x:c r="C224" s="6"/>
      <x:c r="D224" s="6"/>
      <x:c r="E224" s="6"/>
      <x:c r="F224" s="6"/>
      <x:c r="G224" s="6"/>
      <x:c r="H224" s="6"/>
      <x:c r="I224" s="6"/>
      <x:c r="J224" s="6"/>
      <x:c r="K224" s="6"/>
      <x:c r="L224" s="6"/>
      <x:c r="M224" s="6"/>
      <x:c r="N224" s="6"/>
      <x:c r="O224" s="6"/>
      <x:c r="P224" s="6"/>
      <x:c r="Q224" s="6"/>
    </x:row>
    <x:row r="225" ht="19" customHeight="1">
      <x:c r="A225" s="6"/>
      <x:c r="B225" s="6"/>
      <x:c r="C225" s="6"/>
      <x:c r="D225" s="6"/>
      <x:c r="E225" s="6"/>
      <x:c r="F225" s="6"/>
      <x:c r="G225" s="6"/>
      <x:c r="H225" s="6"/>
      <x:c r="I225" s="6"/>
      <x:c r="J225" s="6"/>
      <x:c r="K225" s="6"/>
      <x:c r="L225" s="6"/>
      <x:c r="M225" s="6"/>
      <x:c r="N225" s="6"/>
      <x:c r="O225" s="6"/>
      <x:c r="P225" s="6"/>
      <x:c r="Q225" s="6"/>
    </x:row>
    <x:row r="226" ht="19" customHeight="1">
      <x:c r="A226" s="6"/>
      <x:c r="B226" s="6"/>
      <x:c r="C226" s="6"/>
      <x:c r="D226" s="6"/>
      <x:c r="E226" s="6"/>
      <x:c r="F226" s="6"/>
      <x:c r="G226" s="6"/>
      <x:c r="H226" s="6"/>
      <x:c r="I226" s="6"/>
      <x:c r="J226" s="6"/>
      <x:c r="K226" s="6"/>
      <x:c r="L226" s="6"/>
      <x:c r="M226" s="6"/>
      <x:c r="N226" s="6"/>
      <x:c r="O226" s="6"/>
      <x:c r="P226" s="6"/>
      <x:c r="Q226" s="6"/>
    </x:row>
    <x:row r="227" ht="19" customHeight="1">
      <x:c r="A227" s="6"/>
      <x:c r="B227" s="6"/>
      <x:c r="C227" s="6"/>
      <x:c r="D227" s="6"/>
      <x:c r="E227" s="6"/>
      <x:c r="F227" s="6"/>
      <x:c r="G227" s="6"/>
      <x:c r="H227" s="6"/>
      <x:c r="I227" s="6"/>
      <x:c r="J227" s="6"/>
      <x:c r="K227" s="6"/>
      <x:c r="L227" s="6"/>
      <x:c r="M227" s="6"/>
      <x:c r="N227" s="6"/>
      <x:c r="O227" s="6"/>
      <x:c r="P227" s="6"/>
      <x:c r="Q227" s="6"/>
    </x:row>
    <x:row r="228" ht="19" customHeight="1">
      <x:c r="A228" s="6"/>
      <x:c r="B228" s="6"/>
      <x:c r="C228" s="6"/>
      <x:c r="D228" s="6"/>
      <x:c r="E228" s="6"/>
      <x:c r="F228" s="6"/>
      <x:c r="G228" s="6"/>
      <x:c r="H228" s="6"/>
      <x:c r="I228" s="6"/>
      <x:c r="J228" s="6"/>
      <x:c r="K228" s="6"/>
      <x:c r="L228" s="6"/>
      <x:c r="M228" s="6"/>
      <x:c r="N228" s="6"/>
      <x:c r="O228" s="6"/>
      <x:c r="P228" s="6"/>
      <x:c r="Q228" s="6"/>
    </x:row>
    <x:row r="229" ht="19" customHeight="1">
      <x:c r="A229" s="6"/>
      <x:c r="B229" s="6"/>
      <x:c r="C229" s="6"/>
      <x:c r="D229" s="6"/>
      <x:c r="E229" s="6"/>
      <x:c r="F229" s="6"/>
      <x:c r="G229" s="6"/>
      <x:c r="H229" s="6"/>
      <x:c r="I229" s="6"/>
      <x:c r="J229" s="6"/>
      <x:c r="K229" s="6"/>
      <x:c r="L229" s="6"/>
      <x:c r="M229" s="6"/>
      <x:c r="N229" s="6"/>
      <x:c r="O229" s="6"/>
      <x:c r="P229" s="6"/>
      <x:c r="Q229" s="6"/>
    </x:row>
    <x:row r="230" ht="19" customHeight="1">
      <x:c r="A230" s="6"/>
      <x:c r="B230" s="6"/>
      <x:c r="C230" s="6"/>
      <x:c r="D230" s="6"/>
      <x:c r="E230" s="6"/>
      <x:c r="F230" s="6"/>
      <x:c r="G230" s="6"/>
      <x:c r="H230" s="6"/>
      <x:c r="I230" s="6"/>
      <x:c r="J230" s="6"/>
      <x:c r="K230" s="6"/>
      <x:c r="L230" s="6"/>
      <x:c r="M230" s="6"/>
      <x:c r="N230" s="6"/>
      <x:c r="O230" s="6"/>
      <x:c r="P230" s="6"/>
      <x:c r="Q230" s="6"/>
    </x:row>
    <x:row r="231" ht="19" customHeight="1">
      <x:c r="A231" s="6"/>
      <x:c r="B231" s="6"/>
      <x:c r="C231" s="6"/>
      <x:c r="D231" s="6"/>
      <x:c r="E231" s="6"/>
      <x:c r="F231" s="6"/>
      <x:c r="G231" s="6"/>
      <x:c r="H231" s="6"/>
      <x:c r="I231" s="6"/>
      <x:c r="J231" s="6"/>
      <x:c r="K231" s="6"/>
      <x:c r="L231" s="6"/>
      <x:c r="M231" s="6"/>
      <x:c r="N231" s="6"/>
      <x:c r="O231" s="6"/>
      <x:c r="P231" s="6"/>
      <x:c r="Q231" s="6"/>
    </x:row>
    <x:row r="232" ht="19" customHeight="1">
      <x:c r="A232" s="6"/>
      <x:c r="B232" s="6"/>
      <x:c r="C232" s="6"/>
      <x:c r="D232" s="6"/>
      <x:c r="E232" s="6"/>
      <x:c r="F232" s="6"/>
      <x:c r="G232" s="6"/>
      <x:c r="H232" s="6"/>
      <x:c r="I232" s="6"/>
      <x:c r="J232" s="6"/>
      <x:c r="K232" s="6"/>
      <x:c r="L232" s="6"/>
      <x:c r="M232" s="6"/>
      <x:c r="N232" s="6"/>
      <x:c r="O232" s="6"/>
      <x:c r="P232" s="6"/>
      <x:c r="Q232" s="6"/>
    </x:row>
    <x:row r="233" ht="19" customHeight="1">
      <x:c r="A233" s="6"/>
      <x:c r="B233" s="6"/>
      <x:c r="C233" s="6"/>
      <x:c r="D233" s="6"/>
      <x:c r="E233" s="6"/>
      <x:c r="F233" s="6"/>
      <x:c r="G233" s="6"/>
      <x:c r="H233" s="6"/>
      <x:c r="I233" s="6"/>
      <x:c r="J233" s="6"/>
      <x:c r="K233" s="6"/>
      <x:c r="L233" s="6"/>
      <x:c r="M233" s="6"/>
      <x:c r="N233" s="6"/>
      <x:c r="O233" s="6"/>
      <x:c r="P233" s="6"/>
      <x:c r="Q233" s="6"/>
    </x:row>
    <x:row r="234" ht="19" customHeight="1">
      <x:c r="A234" s="6"/>
      <x:c r="B234" s="6"/>
      <x:c r="C234" s="6"/>
      <x:c r="D234" s="6"/>
      <x:c r="E234" s="6"/>
      <x:c r="F234" s="6"/>
      <x:c r="G234" s="6"/>
      <x:c r="H234" s="6"/>
      <x:c r="I234" s="6"/>
      <x:c r="J234" s="6"/>
      <x:c r="K234" s="6"/>
      <x:c r="L234" s="6"/>
      <x:c r="M234" s="6"/>
      <x:c r="N234" s="6"/>
      <x:c r="O234" s="6"/>
      <x:c r="P234" s="6"/>
      <x:c r="Q234" s="6"/>
    </x:row>
    <x:row r="235" ht="19" customHeight="1">
      <x:c r="A235" s="6"/>
      <x:c r="B235" s="6"/>
      <x:c r="C235" s="6"/>
      <x:c r="D235" s="6"/>
      <x:c r="E235" s="6"/>
      <x:c r="F235" s="6"/>
      <x:c r="G235" s="6"/>
      <x:c r="H235" s="6"/>
      <x:c r="I235" s="6"/>
      <x:c r="J235" s="6"/>
      <x:c r="K235" s="6"/>
      <x:c r="L235" s="6"/>
      <x:c r="M235" s="6"/>
      <x:c r="N235" s="6"/>
      <x:c r="O235" s="6"/>
      <x:c r="P235" s="6"/>
      <x:c r="Q235" s="6"/>
    </x:row>
    <x:row r="236" ht="19" customHeight="1">
      <x:c r="A236" s="6"/>
      <x:c r="B236" s="6"/>
      <x:c r="C236" s="6"/>
      <x:c r="D236" s="6"/>
      <x:c r="E236" s="6"/>
      <x:c r="F236" s="6"/>
      <x:c r="G236" s="6"/>
      <x:c r="H236" s="6"/>
      <x:c r="I236" s="6"/>
      <x:c r="J236" s="6"/>
      <x:c r="K236" s="6"/>
      <x:c r="L236" s="6"/>
      <x:c r="M236" s="6"/>
      <x:c r="N236" s="6"/>
      <x:c r="O236" s="6"/>
      <x:c r="P236" s="6"/>
      <x:c r="Q236" s="6"/>
    </x:row>
    <x:row r="237" ht="19" customHeight="1">
      <x:c r="A237" s="6"/>
      <x:c r="B237" s="6"/>
      <x:c r="C237" s="6"/>
      <x:c r="D237" s="6"/>
      <x:c r="E237" s="6"/>
      <x:c r="F237" s="6"/>
      <x:c r="G237" s="6"/>
      <x:c r="H237" s="6"/>
      <x:c r="I237" s="6"/>
      <x:c r="J237" s="6"/>
      <x:c r="K237" s="6"/>
      <x:c r="L237" s="6"/>
      <x:c r="M237" s="6"/>
      <x:c r="N237" s="6"/>
      <x:c r="O237" s="6"/>
      <x:c r="P237" s="6"/>
      <x:c r="Q237" s="6"/>
    </x:row>
    <x:row r="238" ht="19" customHeight="1">
      <x:c r="A238" s="6"/>
      <x:c r="B238" s="6"/>
      <x:c r="C238" s="6"/>
      <x:c r="D238" s="6"/>
      <x:c r="E238" s="6"/>
      <x:c r="F238" s="6"/>
      <x:c r="G238" s="6"/>
      <x:c r="H238" s="6"/>
      <x:c r="I238" s="6"/>
      <x:c r="J238" s="6"/>
      <x:c r="K238" s="6"/>
      <x:c r="L238" s="6"/>
      <x:c r="M238" s="6"/>
      <x:c r="N238" s="6"/>
      <x:c r="O238" s="6"/>
      <x:c r="P238" s="6"/>
      <x:c r="Q238" s="6"/>
    </x:row>
    <x:row r="239" ht="19" customHeight="1">
      <x:c r="A239" s="6"/>
      <x:c r="B239" s="6"/>
      <x:c r="C239" s="6"/>
      <x:c r="D239" s="6"/>
      <x:c r="E239" s="6"/>
      <x:c r="F239" s="6"/>
      <x:c r="G239" s="6"/>
      <x:c r="H239" s="6"/>
      <x:c r="I239" s="6"/>
      <x:c r="J239" s="6"/>
      <x:c r="K239" s="6"/>
      <x:c r="L239" s="6"/>
      <x:c r="M239" s="6"/>
      <x:c r="N239" s="6"/>
      <x:c r="O239" s="6"/>
      <x:c r="P239" s="6"/>
      <x:c r="Q239" s="6"/>
    </x:row>
    <x:row r="240" ht="19" customHeight="1">
      <x:c r="A240" s="6"/>
      <x:c r="B240" s="6"/>
      <x:c r="C240" s="6"/>
      <x:c r="D240" s="6"/>
      <x:c r="E240" s="6"/>
      <x:c r="F240" s="6"/>
      <x:c r="G240" s="6"/>
      <x:c r="H240" s="6"/>
      <x:c r="I240" s="6"/>
      <x:c r="J240" s="6"/>
      <x:c r="K240" s="6"/>
      <x:c r="L240" s="6"/>
      <x:c r="M240" s="6"/>
      <x:c r="N240" s="6"/>
      <x:c r="O240" s="6"/>
      <x:c r="P240" s="6"/>
      <x:c r="Q240" s="6"/>
    </x:row>
    <x:row r="241" ht="19" customHeight="1">
      <x:c r="A241" s="6"/>
      <x:c r="B241" s="6"/>
      <x:c r="C241" s="6"/>
      <x:c r="D241" s="6"/>
      <x:c r="E241" s="6"/>
      <x:c r="F241" s="6"/>
      <x:c r="G241" s="6"/>
      <x:c r="H241" s="6"/>
      <x:c r="I241" s="6"/>
      <x:c r="J241" s="6"/>
      <x:c r="K241" s="6"/>
      <x:c r="L241" s="6"/>
      <x:c r="M241" s="6"/>
      <x:c r="N241" s="6"/>
      <x:c r="O241" s="6"/>
      <x:c r="P241" s="6"/>
      <x:c r="Q241" s="6"/>
    </x:row>
    <x:row r="242" ht="19" customHeight="1">
      <x:c r="A242" s="6"/>
      <x:c r="B242" s="6"/>
      <x:c r="C242" s="6"/>
      <x:c r="D242" s="6"/>
      <x:c r="E242" s="6"/>
      <x:c r="F242" s="6"/>
      <x:c r="G242" s="6"/>
      <x:c r="H242" s="6"/>
      <x:c r="I242" s="6"/>
      <x:c r="J242" s="6"/>
      <x:c r="K242" s="6"/>
      <x:c r="L242" s="6"/>
      <x:c r="M242" s="6"/>
      <x:c r="N242" s="6"/>
      <x:c r="O242" s="6"/>
      <x:c r="P242" s="6"/>
      <x:c r="Q242" s="6"/>
    </x:row>
    <x:row r="243" ht="19" customHeight="1">
      <x:c r="A243" s="6"/>
      <x:c r="B243" s="6"/>
      <x:c r="C243" s="6"/>
      <x:c r="D243" s="6"/>
      <x:c r="E243" s="6"/>
      <x:c r="F243" s="6"/>
      <x:c r="G243" s="6"/>
      <x:c r="H243" s="6"/>
      <x:c r="I243" s="6"/>
      <x:c r="J243" s="6"/>
      <x:c r="K243" s="6"/>
      <x:c r="L243" s="6"/>
      <x:c r="M243" s="6"/>
      <x:c r="N243" s="6"/>
      <x:c r="O243" s="6"/>
      <x:c r="P243" s="6"/>
      <x:c r="Q243" s="6"/>
    </x:row>
    <x:row r="244" ht="19" customHeight="1">
      <x:c r="A244" s="6"/>
      <x:c r="B244" s="6"/>
      <x:c r="C244" s="6"/>
      <x:c r="D244" s="6"/>
      <x:c r="E244" s="6"/>
      <x:c r="F244" s="6"/>
      <x:c r="G244" s="6"/>
      <x:c r="H244" s="6"/>
      <x:c r="I244" s="6"/>
      <x:c r="J244" s="6"/>
      <x:c r="K244" s="6"/>
      <x:c r="L244" s="6"/>
      <x:c r="M244" s="6"/>
      <x:c r="N244" s="6"/>
      <x:c r="O244" s="6"/>
      <x:c r="P244" s="6"/>
      <x:c r="Q244" s="6"/>
    </x:row>
    <x:row r="245" ht="19" customHeight="1">
      <x:c r="A245" s="6"/>
      <x:c r="B245" s="6"/>
      <x:c r="C245" s="6"/>
      <x:c r="D245" s="6"/>
      <x:c r="E245" s="6"/>
      <x:c r="F245" s="6"/>
      <x:c r="G245" s="6"/>
      <x:c r="H245" s="6"/>
      <x:c r="I245" s="6"/>
      <x:c r="J245" s="6"/>
      <x:c r="K245" s="6"/>
      <x:c r="L245" s="6"/>
      <x:c r="M245" s="6"/>
      <x:c r="N245" s="6"/>
      <x:c r="O245" s="6"/>
      <x:c r="P245" s="6"/>
      <x:c r="Q245" s="6"/>
    </x:row>
    <x:row r="246" ht="19" customHeight="1">
      <x:c r="A246" s="6"/>
      <x:c r="B246" s="6"/>
      <x:c r="C246" s="6"/>
      <x:c r="D246" s="6"/>
      <x:c r="E246" s="6"/>
      <x:c r="F246" s="6"/>
      <x:c r="G246" s="6"/>
      <x:c r="H246" s="6"/>
      <x:c r="I246" s="6"/>
      <x:c r="J246" s="6"/>
      <x:c r="K246" s="6"/>
      <x:c r="L246" s="6"/>
      <x:c r="M246" s="6"/>
      <x:c r="N246" s="6"/>
      <x:c r="O246" s="6"/>
      <x:c r="P246" s="6"/>
      <x:c r="Q246" s="6"/>
    </x:row>
    <x:row r="247" ht="19" customHeight="1">
      <x:c r="A247" s="6"/>
      <x:c r="B247" s="6"/>
      <x:c r="C247" s="6"/>
      <x:c r="D247" s="6"/>
      <x:c r="E247" s="6"/>
      <x:c r="F247" s="6"/>
      <x:c r="G247" s="6"/>
      <x:c r="H247" s="6"/>
      <x:c r="I247" s="6"/>
      <x:c r="J247" s="6"/>
      <x:c r="K247" s="6"/>
      <x:c r="L247" s="6"/>
      <x:c r="M247" s="6"/>
      <x:c r="N247" s="6"/>
      <x:c r="O247" s="6"/>
      <x:c r="P247" s="6"/>
      <x:c r="Q247" s="6"/>
    </x:row>
    <x:row r="248" ht="19" customHeight="1">
      <x:c r="A248" s="6"/>
      <x:c r="B248" s="6"/>
      <x:c r="C248" s="6"/>
      <x:c r="D248" s="6"/>
      <x:c r="E248" s="6"/>
      <x:c r="F248" s="6"/>
      <x:c r="G248" s="6"/>
      <x:c r="H248" s="6"/>
      <x:c r="I248" s="6"/>
      <x:c r="J248" s="6"/>
      <x:c r="K248" s="6"/>
      <x:c r="L248" s="6"/>
      <x:c r="M248" s="6"/>
      <x:c r="N248" s="6"/>
      <x:c r="O248" s="6"/>
      <x:c r="P248" s="6"/>
      <x:c r="Q248" s="6"/>
    </x:row>
    <x:row r="249" ht="19" customHeight="1">
      <x:c r="A249" s="6"/>
      <x:c r="B249" s="6"/>
      <x:c r="C249" s="6"/>
      <x:c r="D249" s="6"/>
      <x:c r="E249" s="6"/>
      <x:c r="F249" s="6"/>
      <x:c r="G249" s="6"/>
      <x:c r="H249" s="6"/>
      <x:c r="I249" s="6"/>
      <x:c r="J249" s="6"/>
      <x:c r="K249" s="6"/>
      <x:c r="L249" s="6"/>
      <x:c r="M249" s="6"/>
      <x:c r="N249" s="6"/>
      <x:c r="O249" s="6"/>
      <x:c r="P249" s="6"/>
      <x:c r="Q249" s="6"/>
    </x:row>
    <x:row r="250" ht="19" customHeight="1">
      <x:c r="A250" s="6"/>
      <x:c r="B250" s="6"/>
      <x:c r="C250" s="6"/>
      <x:c r="D250" s="6"/>
      <x:c r="E250" s="6"/>
      <x:c r="F250" s="6"/>
      <x:c r="G250" s="6"/>
      <x:c r="H250" s="6"/>
      <x:c r="I250" s="6"/>
      <x:c r="J250" s="6"/>
      <x:c r="K250" s="6"/>
      <x:c r="L250" s="6"/>
      <x:c r="M250" s="6"/>
      <x:c r="N250" s="6"/>
      <x:c r="O250" s="6"/>
      <x:c r="P250" s="6"/>
      <x:c r="Q250" s="6"/>
    </x:row>
    <x:row r="251" ht="19" customHeight="1">
      <x:c r="A251" s="6"/>
      <x:c r="B251" s="6"/>
      <x:c r="C251" s="6"/>
      <x:c r="D251" s="6"/>
      <x:c r="E251" s="6"/>
      <x:c r="F251" s="6"/>
      <x:c r="G251" s="6"/>
      <x:c r="H251" s="6"/>
      <x:c r="I251" s="6"/>
      <x:c r="J251" s="6"/>
      <x:c r="K251" s="6"/>
      <x:c r="L251" s="6"/>
      <x:c r="M251" s="6"/>
      <x:c r="N251" s="6"/>
      <x:c r="O251" s="6"/>
      <x:c r="P251" s="6"/>
      <x:c r="Q251" s="6"/>
    </x:row>
    <x:row r="252" ht="19" customHeight="1">
      <x:c r="A252" s="6"/>
      <x:c r="B252" s="6"/>
      <x:c r="C252" s="6"/>
      <x:c r="D252" s="6"/>
      <x:c r="E252" s="6"/>
      <x:c r="F252" s="6"/>
      <x:c r="G252" s="6"/>
      <x:c r="H252" s="6"/>
      <x:c r="I252" s="6"/>
      <x:c r="J252" s="6"/>
      <x:c r="K252" s="6"/>
      <x:c r="L252" s="6"/>
      <x:c r="M252" s="6"/>
      <x:c r="N252" s="6"/>
      <x:c r="O252" s="6"/>
      <x:c r="P252" s="6"/>
      <x:c r="Q252" s="6"/>
    </x:row>
    <x:row r="253" ht="19" customHeight="1">
      <x:c r="A253" s="6"/>
      <x:c r="B253" s="6"/>
      <x:c r="C253" s="6"/>
      <x:c r="D253" s="6"/>
      <x:c r="E253" s="6"/>
      <x:c r="F253" s="6"/>
      <x:c r="G253" s="6"/>
      <x:c r="H253" s="6"/>
      <x:c r="I253" s="6"/>
      <x:c r="J253" s="6"/>
      <x:c r="K253" s="6"/>
      <x:c r="L253" s="6"/>
      <x:c r="M253" s="6"/>
      <x:c r="N253" s="6"/>
      <x:c r="O253" s="6"/>
      <x:c r="P253" s="6"/>
      <x:c r="Q253" s="6"/>
    </x:row>
    <x:row r="254" ht="19" customHeight="1">
      <x:c r="A254" s="6"/>
      <x:c r="B254" s="6"/>
      <x:c r="C254" s="6"/>
      <x:c r="D254" s="6"/>
      <x:c r="E254" s="6"/>
      <x:c r="F254" s="6"/>
      <x:c r="G254" s="6"/>
      <x:c r="H254" s="6"/>
      <x:c r="I254" s="6"/>
      <x:c r="J254" s="6"/>
      <x:c r="K254" s="6"/>
      <x:c r="L254" s="6"/>
      <x:c r="M254" s="6"/>
      <x:c r="N254" s="6"/>
      <x:c r="O254" s="6"/>
      <x:c r="P254" s="6"/>
      <x:c r="Q254" s="6"/>
    </x:row>
    <x:row r="255" ht="19" customHeight="1">
      <x:c r="A255" s="6"/>
      <x:c r="B255" s="6"/>
      <x:c r="C255" s="6"/>
      <x:c r="D255" s="6"/>
      <x:c r="E255" s="6"/>
      <x:c r="F255" s="6"/>
      <x:c r="G255" s="6"/>
      <x:c r="H255" s="6"/>
      <x:c r="I255" s="6"/>
      <x:c r="J255" s="6"/>
      <x:c r="K255" s="6"/>
      <x:c r="L255" s="6"/>
      <x:c r="M255" s="6"/>
      <x:c r="N255" s="6"/>
      <x:c r="O255" s="6"/>
      <x:c r="P255" s="6"/>
      <x:c r="Q255" s="6"/>
    </x:row>
    <x:row r="256" ht="19" customHeight="1">
      <x:c r="A256" s="6"/>
      <x:c r="B256" s="6"/>
      <x:c r="C256" s="6"/>
      <x:c r="D256" s="6"/>
      <x:c r="E256" s="6"/>
      <x:c r="F256" s="6"/>
      <x:c r="G256" s="6"/>
      <x:c r="H256" s="6"/>
      <x:c r="I256" s="6"/>
      <x:c r="J256" s="6"/>
      <x:c r="K256" s="6"/>
      <x:c r="L256" s="6"/>
      <x:c r="M256" s="6"/>
      <x:c r="N256" s="6"/>
      <x:c r="O256" s="6"/>
      <x:c r="P256" s="6"/>
      <x:c r="Q256" s="6"/>
    </x:row>
    <x:row r="257" ht="19" customHeight="1">
      <x:c r="A257" s="6"/>
      <x:c r="B257" s="6"/>
      <x:c r="C257" s="6"/>
      <x:c r="D257" s="6"/>
      <x:c r="E257" s="6"/>
      <x:c r="F257" s="6"/>
      <x:c r="G257" s="6"/>
      <x:c r="H257" s="6"/>
      <x:c r="I257" s="6"/>
      <x:c r="J257" s="6"/>
      <x:c r="K257" s="6"/>
      <x:c r="L257" s="6"/>
      <x:c r="M257" s="6"/>
      <x:c r="N257" s="6"/>
      <x:c r="O257" s="6"/>
      <x:c r="P257" s="6"/>
      <x:c r="Q257" s="6"/>
    </x:row>
    <x:row r="258" ht="19" customHeight="1">
      <x:c r="A258" s="6"/>
      <x:c r="B258" s="6"/>
      <x:c r="C258" s="6"/>
      <x:c r="D258" s="6"/>
      <x:c r="E258" s="6"/>
      <x:c r="F258" s="6"/>
      <x:c r="G258" s="6"/>
      <x:c r="H258" s="6"/>
      <x:c r="I258" s="6"/>
      <x:c r="J258" s="6"/>
      <x:c r="K258" s="6"/>
      <x:c r="L258" s="6"/>
      <x:c r="M258" s="6"/>
      <x:c r="N258" s="6"/>
      <x:c r="O258" s="6"/>
      <x:c r="P258" s="6"/>
      <x:c r="Q258" s="6"/>
    </x:row>
    <x:row r="259" ht="19" customHeight="1">
      <x:c r="A259" s="6"/>
      <x:c r="B259" s="6"/>
      <x:c r="C259" s="6"/>
      <x:c r="D259" s="6"/>
      <x:c r="E259" s="6"/>
      <x:c r="F259" s="6"/>
      <x:c r="G259" s="6"/>
      <x:c r="H259" s="6"/>
      <x:c r="I259" s="6"/>
      <x:c r="J259" s="6"/>
      <x:c r="K259" s="6"/>
      <x:c r="L259" s="6"/>
      <x:c r="M259" s="6"/>
      <x:c r="N259" s="6"/>
      <x:c r="O259" s="6"/>
      <x:c r="P259" s="6"/>
      <x:c r="Q259" s="6"/>
    </x:row>
    <x:row r="260" ht="19" customHeight="1">
      <x:c r="A260" s="6"/>
      <x:c r="B260" s="6"/>
      <x:c r="C260" s="6"/>
      <x:c r="D260" s="6"/>
      <x:c r="E260" s="6"/>
      <x:c r="F260" s="6"/>
      <x:c r="G260" s="6"/>
      <x:c r="H260" s="6"/>
      <x:c r="I260" s="6"/>
      <x:c r="J260" s="6"/>
      <x:c r="K260" s="6"/>
      <x:c r="L260" s="6"/>
      <x:c r="M260" s="6"/>
      <x:c r="N260" s="6"/>
      <x:c r="O260" s="6"/>
      <x:c r="P260" s="6"/>
      <x:c r="Q260" s="6"/>
    </x:row>
  </x:sheetData>
  <x:mergeCells>
    <x:mergeCell ref="A1:E2"/>
    <x:mergeCell ref="A3:E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18" hidden="0" customWidth="1"/>
    <x:col min="3" max="3" width="8" hidden="0" customWidth="1"/>
    <x:col min="4" max="4" width="32" hidden="0" customWidth="1"/>
    <x:col min="5" max="5" width="13" hidden="0" customWidth="1"/>
    <x:col min="6" max="6" width="13" hidden="0" customWidth="1"/>
    <x:col min="7" max="7" width="13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0" t="str">
        <x:v>Оценки трёх участников (редактируемые)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6"/>
      <x:c r="L1" s="6"/>
      <x:c r="M1" s="6"/>
      <x:c r="N1" s="6"/>
      <x:c r="O1" s="6"/>
      <x:c r="P1" s="6"/>
      <x:c r="Q1" s="6"/>
    </x:row>
    <x:row r="2" ht="24" customHeight="1">
      <x:c r="A2" s="10"/>
      <x:c r="B2" s="10"/>
      <x:c r="C2" s="10"/>
      <x:c r="D2" s="10"/>
      <x:c r="E2" s="10"/>
      <x:c r="F2" s="10"/>
      <x:c r="G2" s="10"/>
      <x:c r="H2" s="10"/>
      <x:c r="I2" s="10"/>
      <x:c r="J2" s="10"/>
      <x:c r="K2" s="6"/>
      <x:c r="L2" s="6"/>
      <x:c r="M2" s="6"/>
      <x:c r="N2" s="6"/>
      <x:c r="O2" s="6"/>
      <x:c r="P2" s="6"/>
      <x:c r="Q2" s="6"/>
    </x:row>
    <x:row r="3" ht="19" customHeight="1">
      <x:c r="A3" s="6" t="str">
        <x:v>СИНИЕ ячейки E:G — учебный пример. Каждый участник подтверждает или заменяет только свой столбец.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</x:row>
    <x:row r="4" ht="30" customHeight="1">
      <x:c r="A4" s="17" t="str">
        <x:v>Тип</x:v>
      </x:c>
      <x:c r="B4" s="17" t="str">
        <x:v>Вариант</x:v>
      </x:c>
      <x:c r="C4" s="17" t="str">
        <x:v>Код</x:v>
      </x:c>
      <x:c r="D4" s="17" t="str">
        <x:v>Критерий</x:v>
      </x:c>
      <x:c r="E4" s="17" t="str">
        <x:v>Участник 1</x:v>
      </x:c>
      <x:c r="F4" s="17" t="str">
        <x:v>Участник 2</x:v>
      </x:c>
      <x:c r="G4" s="17" t="str">
        <x:v>Участник 3</x:v>
      </x:c>
      <x:c r="H4" s="17" t="str">
        <x:v>Песс. min</x:v>
      </x:c>
      <x:c r="I4" s="17" t="str">
        <x:v>Ожид. median</x:v>
      </x:c>
      <x:c r="J4" s="17" t="str">
        <x:v>Оптим. max</x:v>
      </x:c>
      <x:c r="K4" s="6"/>
      <x:c r="L4" s="6"/>
      <x:c r="M4" s="6"/>
      <x:c r="N4" s="6"/>
      <x:c r="O4" s="6"/>
      <x:c r="P4" s="6"/>
      <x:c r="Q4" s="6"/>
    </x:row>
    <x:row r="5" ht="19" customHeight="1">
      <x:c r="A5" s="6" t="str">
        <x:v>Важность</x:v>
      </x:c>
      <x:c r="B5" s="6" t="str">
        <x:v>—</x:v>
      </x:c>
      <x:c r="C5" s="6" t="str">
        <x:v>K1</x:v>
      </x:c>
      <x:c r="D5" s="22" t="str">
        <x:v>Ценность для студентов</x:v>
      </x:c>
      <x:c r="E5" s="30" t="n">
        <x:v>9</x:v>
      </x:c>
      <x:c r="F5" s="30" t="n">
        <x:v>8</x:v>
      </x:c>
      <x:c r="G5" s="30" t="n">
        <x:v>9</x:v>
      </x:c>
      <x:c r="H5" s="32" t="n">
        <x:f>MIN(E5:G5)</x:f>
        <x:v>8</x:v>
      </x:c>
      <x:c r="I5" s="32" t="n">
        <x:f>MEDIAN(E5:G5)</x:f>
        <x:v>9</x:v>
      </x:c>
      <x:c r="J5" s="32" t="n">
        <x:f>MAX(E5:G5)</x:f>
        <x:v>9</x:v>
      </x:c>
      <x:c r="K5" s="6"/>
      <x:c r="L5" s="6"/>
      <x:c r="M5" s="6"/>
      <x:c r="N5" s="6"/>
      <x:c r="O5" s="6"/>
      <x:c r="P5" s="6"/>
      <x:c r="Q5" s="6"/>
    </x:row>
    <x:row r="6" ht="19" customHeight="1">
      <x:c r="A6" s="6" t="str">
        <x:v>Важность</x:v>
      </x:c>
      <x:c r="B6" s="6" t="str">
        <x:v>—</x:v>
      </x:c>
      <x:c r="C6" s="6" t="str">
        <x:v>K2</x:v>
      </x:c>
      <x:c r="D6" s="22" t="str">
        <x:v>Реализуемость MVP</x:v>
      </x:c>
      <x:c r="E6" s="30" t="n">
        <x:v>8</x:v>
      </x:c>
      <x:c r="F6" s="30" t="n">
        <x:v>9</x:v>
      </x:c>
      <x:c r="G6" s="30" t="n">
        <x:v>8</x:v>
      </x:c>
      <x:c r="H6" s="32" t="n">
        <x:f>MIN(E6:G6)</x:f>
        <x:v>8</x:v>
      </x:c>
      <x:c r="I6" s="32" t="n">
        <x:f>MEDIAN(E6:G6)</x:f>
        <x:v>8</x:v>
      </x:c>
      <x:c r="J6" s="32" t="n">
        <x:f>MAX(E6:G6)</x:f>
        <x:v>9</x:v>
      </x:c>
      <x:c r="K6" s="6"/>
      <x:c r="L6" s="6"/>
      <x:c r="M6" s="6"/>
      <x:c r="N6" s="6"/>
      <x:c r="O6" s="6"/>
      <x:c r="P6" s="6"/>
      <x:c r="Q6" s="6"/>
    </x:row>
    <x:row r="7" ht="19" customHeight="1">
      <x:c r="A7" s="6" t="str">
        <x:v>Важность</x:v>
      </x:c>
      <x:c r="B7" s="6" t="str">
        <x:v>—</x:v>
      </x:c>
      <x:c r="C7" s="6" t="str">
        <x:v>K3</x:v>
      </x:c>
      <x:c r="D7" s="22" t="str">
        <x:v>Проверяемость и демо</x:v>
      </x:c>
      <x:c r="E7" s="30" t="n">
        <x:v>8</x:v>
      </x:c>
      <x:c r="F7" s="30" t="n">
        <x:v>7</x:v>
      </x:c>
      <x:c r="G7" s="30" t="n">
        <x:v>8</x:v>
      </x:c>
      <x:c r="H7" s="32" t="n">
        <x:f>MIN(E7:G7)</x:f>
        <x:v>7</x:v>
      </x:c>
      <x:c r="I7" s="32" t="n">
        <x:f>MEDIAN(E7:G7)</x:f>
        <x:v>8</x:v>
      </x:c>
      <x:c r="J7" s="32" t="n">
        <x:f>MAX(E7:G7)</x:f>
        <x:v>8</x:v>
      </x:c>
      <x:c r="K7" s="6"/>
      <x:c r="L7" s="6"/>
      <x:c r="M7" s="6"/>
      <x:c r="N7" s="6"/>
      <x:c r="O7" s="6"/>
      <x:c r="P7" s="6"/>
      <x:c r="Q7" s="6"/>
    </x:row>
    <x:row r="8" ht="19" customHeight="1">
      <x:c r="A8" s="6" t="str">
        <x:v>Важность</x:v>
      </x:c>
      <x:c r="B8" s="6" t="str">
        <x:v>—</x:v>
      </x:c>
      <x:c r="C8" s="6" t="str">
        <x:v>K4</x:v>
      </x:c>
      <x:c r="D8" s="22" t="str">
        <x:v>Доступность тестовых данных</x:v>
      </x:c>
      <x:c r="E8" s="30" t="n">
        <x:v>6</x:v>
      </x:c>
      <x:c r="F8" s="30" t="n">
        <x:v>7</x:v>
      </x:c>
      <x:c r="G8" s="30" t="n">
        <x:v>7</x:v>
      </x:c>
      <x:c r="H8" s="32" t="n">
        <x:f>MIN(E8:G8)</x:f>
        <x:v>6</x:v>
      </x:c>
      <x:c r="I8" s="32" t="n">
        <x:f>MEDIAN(E8:G8)</x:f>
        <x:v>7</x:v>
      </x:c>
      <x:c r="J8" s="32" t="n">
        <x:f>MAX(E8:G8)</x:f>
        <x:v>7</x:v>
      </x:c>
      <x:c r="K8" s="6"/>
      <x:c r="L8" s="6"/>
      <x:c r="M8" s="6"/>
      <x:c r="N8" s="6"/>
      <x:c r="O8" s="6"/>
      <x:c r="P8" s="6"/>
      <x:c r="Q8" s="6"/>
    </x:row>
    <x:row r="9" ht="19" customHeight="1">
      <x:c r="A9" s="6" t="str">
        <x:v>Важность</x:v>
      </x:c>
      <x:c r="B9" s="6" t="str">
        <x:v>—</x:v>
      </x:c>
      <x:c r="C9" s="6" t="str">
        <x:v>K5</x:v>
      </x:c>
      <x:c r="D9" s="22" t="str">
        <x:v>Потенциал развития</x:v>
      </x:c>
      <x:c r="E9" s="30" t="n">
        <x:v>6</x:v>
      </x:c>
      <x:c r="F9" s="30" t="n">
        <x:v>5</x:v>
      </x:c>
      <x:c r="G9" s="30" t="n">
        <x:v>6</x:v>
      </x:c>
      <x:c r="H9" s="32" t="n">
        <x:f>MIN(E9:G9)</x:f>
        <x:v>5</x:v>
      </x:c>
      <x:c r="I9" s="32" t="n">
        <x:f>MEDIAN(E9:G9)</x:f>
        <x:v>6</x:v>
      </x:c>
      <x:c r="J9" s="32" t="n">
        <x:f>MAX(E9:G9)</x:f>
        <x:v>6</x:v>
      </x:c>
      <x:c r="K9" s="6"/>
      <x:c r="L9" s="6"/>
      <x:c r="M9" s="6"/>
      <x:c r="N9" s="6"/>
      <x:c r="O9" s="6"/>
      <x:c r="P9" s="6"/>
      <x:c r="Q9" s="6"/>
    </x:row>
    <x:row r="10" ht="19" customHeight="1">
      <x:c r="A10" s="6" t="str">
        <x:v>Альтернатива</x:v>
      </x:c>
      <x:c r="B10" s="6" t="str">
        <x:v>A1</x:v>
      </x:c>
      <x:c r="C10" s="6" t="str">
        <x:v>K1</x:v>
      </x:c>
      <x:c r="D10" s="22" t="str">
        <x:v>Ценность для студентов</x:v>
      </x:c>
      <x:c r="E10" s="30" t="n">
        <x:v>7</x:v>
      </x:c>
      <x:c r="F10" s="30" t="n">
        <x:v>8</x:v>
      </x:c>
      <x:c r="G10" s="30" t="n">
        <x:v>7</x:v>
      </x:c>
      <x:c r="H10" s="32" t="n">
        <x:f>MIN(E10:G10)</x:f>
        <x:v>7</x:v>
      </x:c>
      <x:c r="I10" s="32" t="n">
        <x:f>MEDIAN(E10:G10)</x:f>
        <x:v>7</x:v>
      </x:c>
      <x:c r="J10" s="32" t="n">
        <x:f>MAX(E10:G10)</x:f>
        <x:v>8</x:v>
      </x:c>
      <x:c r="K10" s="6"/>
      <x:c r="L10" s="6"/>
      <x:c r="M10" s="6"/>
      <x:c r="N10" s="6"/>
      <x:c r="O10" s="6"/>
      <x:c r="P10" s="6"/>
      <x:c r="Q10" s="6"/>
    </x:row>
    <x:row r="11" ht="19" customHeight="1">
      <x:c r="A11" s="6" t="str">
        <x:v>Альтернатива</x:v>
      </x:c>
      <x:c r="B11" s="6" t="str">
        <x:v>A1</x:v>
      </x:c>
      <x:c r="C11" s="6" t="str">
        <x:v>K2</x:v>
      </x:c>
      <x:c r="D11" s="22" t="str">
        <x:v>Реализуемость MVP</x:v>
      </x:c>
      <x:c r="E11" s="30" t="n">
        <x:v>9</x:v>
      </x:c>
      <x:c r="F11" s="30" t="n">
        <x:v>8</x:v>
      </x:c>
      <x:c r="G11" s="30" t="n">
        <x:v>9</x:v>
      </x:c>
      <x:c r="H11" s="32" t="n">
        <x:f>MIN(E11:G11)</x:f>
        <x:v>8</x:v>
      </x:c>
      <x:c r="I11" s="32" t="n">
        <x:f>MEDIAN(E11:G11)</x:f>
        <x:v>9</x:v>
      </x:c>
      <x:c r="J11" s="32" t="n">
        <x:f>MAX(E11:G11)</x:f>
        <x:v>9</x:v>
      </x:c>
      <x:c r="K11" s="6"/>
      <x:c r="L11" s="6"/>
      <x:c r="M11" s="6"/>
      <x:c r="N11" s="6"/>
      <x:c r="O11" s="6"/>
      <x:c r="P11" s="6"/>
      <x:c r="Q11" s="6"/>
    </x:row>
    <x:row r="12" ht="19" customHeight="1">
      <x:c r="A12" s="6" t="str">
        <x:v>Альтернатива</x:v>
      </x:c>
      <x:c r="B12" s="6" t="str">
        <x:v>A1</x:v>
      </x:c>
      <x:c r="C12" s="6" t="str">
        <x:v>K3</x:v>
      </x:c>
      <x:c r="D12" s="22" t="str">
        <x:v>Проверяемость и демо</x:v>
      </x:c>
      <x:c r="E12" s="30" t="n">
        <x:v>9</x:v>
      </x:c>
      <x:c r="F12" s="30" t="n">
        <x:v>9</x:v>
      </x:c>
      <x:c r="G12" s="30" t="n">
        <x:v>8</x:v>
      </x:c>
      <x:c r="H12" s="32" t="n">
        <x:f>MIN(E12:G12)</x:f>
        <x:v>8</x:v>
      </x:c>
      <x:c r="I12" s="32" t="n">
        <x:f>MEDIAN(E12:G12)</x:f>
        <x:v>9</x:v>
      </x:c>
      <x:c r="J12" s="32" t="n">
        <x:f>MAX(E12:G12)</x:f>
        <x:v>9</x:v>
      </x:c>
      <x:c r="K12" s="6"/>
      <x:c r="L12" s="6"/>
      <x:c r="M12" s="6"/>
      <x:c r="N12" s="6"/>
      <x:c r="O12" s="6"/>
      <x:c r="P12" s="6"/>
      <x:c r="Q12" s="6"/>
    </x:row>
    <x:row r="13" ht="19" customHeight="1">
      <x:c r="A13" s="6" t="str">
        <x:v>Альтернатива</x:v>
      </x:c>
      <x:c r="B13" s="6" t="str">
        <x:v>A1</x:v>
      </x:c>
      <x:c r="C13" s="6" t="str">
        <x:v>K4</x:v>
      </x:c>
      <x:c r="D13" s="22" t="str">
        <x:v>Доступность тестовых данных</x:v>
      </x:c>
      <x:c r="E13" s="30" t="n">
        <x:v>9</x:v>
      </x:c>
      <x:c r="F13" s="30" t="n">
        <x:v>9</x:v>
      </x:c>
      <x:c r="G13" s="30" t="n">
        <x:v>8</x:v>
      </x:c>
      <x:c r="H13" s="32" t="n">
        <x:f>MIN(E13:G13)</x:f>
        <x:v>8</x:v>
      </x:c>
      <x:c r="I13" s="32" t="n">
        <x:f>MEDIAN(E13:G13)</x:f>
        <x:v>9</x:v>
      </x:c>
      <x:c r="J13" s="32" t="n">
        <x:f>MAX(E13:G13)</x:f>
        <x:v>9</x:v>
      </x:c>
      <x:c r="K13" s="6"/>
      <x:c r="L13" s="6"/>
      <x:c r="M13" s="6"/>
      <x:c r="N13" s="6"/>
      <x:c r="O13" s="6"/>
      <x:c r="P13" s="6"/>
      <x:c r="Q13" s="6"/>
    </x:row>
    <x:row r="14" ht="19" customHeight="1">
      <x:c r="A14" s="6" t="str">
        <x:v>Альтернатива</x:v>
      </x:c>
      <x:c r="B14" s="6" t="str">
        <x:v>A1</x:v>
      </x:c>
      <x:c r="C14" s="6" t="str">
        <x:v>K5</x:v>
      </x:c>
      <x:c r="D14" s="22" t="str">
        <x:v>Потенциал развития</x:v>
      </x:c>
      <x:c r="E14" s="30" t="n">
        <x:v>5</x:v>
      </x:c>
      <x:c r="F14" s="30" t="n">
        <x:v>4</x:v>
      </x:c>
      <x:c r="G14" s="30" t="n">
        <x:v>5</x:v>
      </x:c>
      <x:c r="H14" s="32" t="n">
        <x:f>MIN(E14:G14)</x:f>
        <x:v>4</x:v>
      </x:c>
      <x:c r="I14" s="32" t="n">
        <x:f>MEDIAN(E14:G14)</x:f>
        <x:v>5</x:v>
      </x:c>
      <x:c r="J14" s="32" t="n">
        <x:f>MAX(E14:G14)</x:f>
        <x:v>5</x:v>
      </x:c>
      <x:c r="K14" s="6"/>
      <x:c r="L14" s="6"/>
      <x:c r="M14" s="6"/>
      <x:c r="N14" s="6"/>
      <x:c r="O14" s="6"/>
      <x:c r="P14" s="6"/>
      <x:c r="Q14" s="6"/>
    </x:row>
    <x:row r="15" ht="19" customHeight="1">
      <x:c r="A15" s="6" t="str">
        <x:v>Альтернатива</x:v>
      </x:c>
      <x:c r="B15" s="6" t="str">
        <x:v>A2</x:v>
      </x:c>
      <x:c r="C15" s="6" t="str">
        <x:v>K1</x:v>
      </x:c>
      <x:c r="D15" s="22" t="str">
        <x:v>Ценность для студентов</x:v>
      </x:c>
      <x:c r="E15" s="30" t="n">
        <x:v>9</x:v>
      </x:c>
      <x:c r="F15" s="30" t="n">
        <x:v>9</x:v>
      </x:c>
      <x:c r="G15" s="30" t="n">
        <x:v>8</x:v>
      </x:c>
      <x:c r="H15" s="32" t="n">
        <x:f>MIN(E15:G15)</x:f>
        <x:v>8</x:v>
      </x:c>
      <x:c r="I15" s="32" t="n">
        <x:f>MEDIAN(E15:G15)</x:f>
        <x:v>9</x:v>
      </x:c>
      <x:c r="J15" s="32" t="n">
        <x:f>MAX(E15:G15)</x:f>
        <x:v>9</x:v>
      </x:c>
      <x:c r="K15" s="6"/>
      <x:c r="L15" s="6"/>
      <x:c r="M15" s="6"/>
      <x:c r="N15" s="6"/>
      <x:c r="O15" s="6"/>
      <x:c r="P15" s="6"/>
      <x:c r="Q15" s="6"/>
    </x:row>
    <x:row r="16" ht="19" customHeight="1">
      <x:c r="A16" s="6" t="str">
        <x:v>Альтернатива</x:v>
      </x:c>
      <x:c r="B16" s="6" t="str">
        <x:v>A2</x:v>
      </x:c>
      <x:c r="C16" s="6" t="str">
        <x:v>K2</x:v>
      </x:c>
      <x:c r="D16" s="22" t="str">
        <x:v>Реализуемость MVP</x:v>
      </x:c>
      <x:c r="E16" s="30" t="n">
        <x:v>8</x:v>
      </x:c>
      <x:c r="F16" s="30" t="n">
        <x:v>7</x:v>
      </x:c>
      <x:c r="G16" s="30" t="n">
        <x:v>8</x:v>
      </x:c>
      <x:c r="H16" s="32" t="n">
        <x:f>MIN(E16:G16)</x:f>
        <x:v>7</x:v>
      </x:c>
      <x:c r="I16" s="32" t="n">
        <x:f>MEDIAN(E16:G16)</x:f>
        <x:v>8</x:v>
      </x:c>
      <x:c r="J16" s="32" t="n">
        <x:f>MAX(E16:G16)</x:f>
        <x:v>8</x:v>
      </x:c>
      <x:c r="K16" s="6"/>
      <x:c r="L16" s="6"/>
      <x:c r="M16" s="6"/>
      <x:c r="N16" s="6"/>
      <x:c r="O16" s="6"/>
      <x:c r="P16" s="6"/>
      <x:c r="Q16" s="6"/>
    </x:row>
    <x:row r="17" ht="19" customHeight="1">
      <x:c r="A17" s="6" t="str">
        <x:v>Альтернатива</x:v>
      </x:c>
      <x:c r="B17" s="6" t="str">
        <x:v>A2</x:v>
      </x:c>
      <x:c r="C17" s="6" t="str">
        <x:v>K3</x:v>
      </x:c>
      <x:c r="D17" s="22" t="str">
        <x:v>Проверяемость и демо</x:v>
      </x:c>
      <x:c r="E17" s="30" t="n">
        <x:v>8</x:v>
      </x:c>
      <x:c r="F17" s="30" t="n">
        <x:v>9</x:v>
      </x:c>
      <x:c r="G17" s="30" t="n">
        <x:v>9</x:v>
      </x:c>
      <x:c r="H17" s="32" t="n">
        <x:f>MIN(E17:G17)</x:f>
        <x:v>8</x:v>
      </x:c>
      <x:c r="I17" s="32" t="n">
        <x:f>MEDIAN(E17:G17)</x:f>
        <x:v>9</x:v>
      </x:c>
      <x:c r="J17" s="32" t="n">
        <x:f>MAX(E17:G17)</x:f>
        <x:v>9</x:v>
      </x:c>
      <x:c r="K17" s="6"/>
      <x:c r="L17" s="6"/>
      <x:c r="M17" s="6"/>
      <x:c r="N17" s="6"/>
      <x:c r="O17" s="6"/>
      <x:c r="P17" s="6"/>
      <x:c r="Q17" s="6"/>
    </x:row>
    <x:row r="18" ht="19" customHeight="1">
      <x:c r="A18" s="6" t="str">
        <x:v>Альтернатива</x:v>
      </x:c>
      <x:c r="B18" s="6" t="str">
        <x:v>A2</x:v>
      </x:c>
      <x:c r="C18" s="6" t="str">
        <x:v>K4</x:v>
      </x:c>
      <x:c r="D18" s="22" t="str">
        <x:v>Доступность тестовых данных</x:v>
      </x:c>
      <x:c r="E18" s="30" t="n">
        <x:v>9</x:v>
      </x:c>
      <x:c r="F18" s="30" t="n">
        <x:v>8</x:v>
      </x:c>
      <x:c r="G18" s="30" t="n">
        <x:v>9</x:v>
      </x:c>
      <x:c r="H18" s="32" t="n">
        <x:f>MIN(E18:G18)</x:f>
        <x:v>8</x:v>
      </x:c>
      <x:c r="I18" s="32" t="n">
        <x:f>MEDIAN(E18:G18)</x:f>
        <x:v>9</x:v>
      </x:c>
      <x:c r="J18" s="32" t="n">
        <x:f>MAX(E18:G18)</x:f>
        <x:v>9</x:v>
      </x:c>
      <x:c r="K18" s="6"/>
      <x:c r="L18" s="6"/>
      <x:c r="M18" s="6"/>
      <x:c r="N18" s="6"/>
      <x:c r="O18" s="6"/>
      <x:c r="P18" s="6"/>
      <x:c r="Q18" s="6"/>
    </x:row>
    <x:row r="19" ht="19" customHeight="1">
      <x:c r="A19" s="6" t="str">
        <x:v>Альтернатива</x:v>
      </x:c>
      <x:c r="B19" s="6" t="str">
        <x:v>A2</x:v>
      </x:c>
      <x:c r="C19" s="6" t="str">
        <x:v>K5</x:v>
      </x:c>
      <x:c r="D19" s="22" t="str">
        <x:v>Потенциал развития</x:v>
      </x:c>
      <x:c r="E19" s="30" t="n">
        <x:v>8</x:v>
      </x:c>
      <x:c r="F19" s="30" t="n">
        <x:v>9</x:v>
      </x:c>
      <x:c r="G19" s="30" t="n">
        <x:v>8</x:v>
      </x:c>
      <x:c r="H19" s="32" t="n">
        <x:f>MIN(E19:G19)</x:f>
        <x:v>8</x:v>
      </x:c>
      <x:c r="I19" s="32" t="n">
        <x:f>MEDIAN(E19:G19)</x:f>
        <x:v>8</x:v>
      </x:c>
      <x:c r="J19" s="32" t="n">
        <x:f>MAX(E19:G19)</x:f>
        <x:v>9</x:v>
      </x:c>
      <x:c r="K19" s="6"/>
      <x:c r="L19" s="6"/>
      <x:c r="M19" s="6"/>
      <x:c r="N19" s="6"/>
      <x:c r="O19" s="6"/>
      <x:c r="P19" s="6"/>
      <x:c r="Q19" s="6"/>
    </x:row>
    <x:row r="20" ht="19" customHeight="1">
      <x:c r="A20" s="6" t="str">
        <x:v>Альтернатива</x:v>
      </x:c>
      <x:c r="B20" s="6" t="str">
        <x:v>A3</x:v>
      </x:c>
      <x:c r="C20" s="6" t="str">
        <x:v>K1</x:v>
      </x:c>
      <x:c r="D20" s="22" t="str">
        <x:v>Ценность для студентов</x:v>
      </x:c>
      <x:c r="E20" s="30" t="n">
        <x:v>7</x:v>
      </x:c>
      <x:c r="F20" s="30" t="n">
        <x:v>6</x:v>
      </x:c>
      <x:c r="G20" s="30" t="n">
        <x:v>7</x:v>
      </x:c>
      <x:c r="H20" s="32" t="n">
        <x:f>MIN(E20:G20)</x:f>
        <x:v>6</x:v>
      </x:c>
      <x:c r="I20" s="32" t="n">
        <x:f>MEDIAN(E20:G20)</x:f>
        <x:v>7</x:v>
      </x:c>
      <x:c r="J20" s="32" t="n">
        <x:f>MAX(E20:G20)</x:f>
        <x:v>7</x:v>
      </x:c>
      <x:c r="K20" s="6"/>
      <x:c r="L20" s="6"/>
      <x:c r="M20" s="6"/>
      <x:c r="N20" s="6"/>
      <x:c r="O20" s="6"/>
      <x:c r="P20" s="6"/>
      <x:c r="Q20" s="6"/>
    </x:row>
    <x:row r="21" ht="19" customHeight="1">
      <x:c r="A21" s="6" t="str">
        <x:v>Альтернатива</x:v>
      </x:c>
      <x:c r="B21" s="6" t="str">
        <x:v>A3</x:v>
      </x:c>
      <x:c r="C21" s="6" t="str">
        <x:v>K2</x:v>
      </x:c>
      <x:c r="D21" s="22" t="str">
        <x:v>Реализуемость MVP</x:v>
      </x:c>
      <x:c r="E21" s="30" t="n">
        <x:v>9</x:v>
      </x:c>
      <x:c r="F21" s="30" t="n">
        <x:v>8</x:v>
      </x:c>
      <x:c r="G21" s="30" t="n">
        <x:v>8</x:v>
      </x:c>
      <x:c r="H21" s="32" t="n">
        <x:f>MIN(E21:G21)</x:f>
        <x:v>8</x:v>
      </x:c>
      <x:c r="I21" s="32" t="n">
        <x:f>MEDIAN(E21:G21)</x:f>
        <x:v>8</x:v>
      </x:c>
      <x:c r="J21" s="32" t="n">
        <x:f>MAX(E21:G21)</x:f>
        <x:v>9</x:v>
      </x:c>
      <x:c r="K21" s="6"/>
      <x:c r="L21" s="6"/>
      <x:c r="M21" s="6"/>
      <x:c r="N21" s="6"/>
      <x:c r="O21" s="6"/>
      <x:c r="P21" s="6"/>
      <x:c r="Q21" s="6"/>
    </x:row>
    <x:row r="22" ht="19" customHeight="1">
      <x:c r="A22" s="6" t="str">
        <x:v>Альтернатива</x:v>
      </x:c>
      <x:c r="B22" s="6" t="str">
        <x:v>A3</x:v>
      </x:c>
      <x:c r="C22" s="6" t="str">
        <x:v>K3</x:v>
      </x:c>
      <x:c r="D22" s="22" t="str">
        <x:v>Проверяемость и демо</x:v>
      </x:c>
      <x:c r="E22" s="30" t="n">
        <x:v>8</x:v>
      </x:c>
      <x:c r="F22" s="30" t="n">
        <x:v>8</x:v>
      </x:c>
      <x:c r="G22" s="30" t="n">
        <x:v>7</x:v>
      </x:c>
      <x:c r="H22" s="32" t="n">
        <x:f>MIN(E22:G22)</x:f>
        <x:v>7</x:v>
      </x:c>
      <x:c r="I22" s="32" t="n">
        <x:f>MEDIAN(E22:G22)</x:f>
        <x:v>8</x:v>
      </x:c>
      <x:c r="J22" s="32" t="n">
        <x:f>MAX(E22:G22)</x:f>
        <x:v>8</x:v>
      </x:c>
      <x:c r="K22" s="6"/>
      <x:c r="L22" s="6"/>
      <x:c r="M22" s="6"/>
      <x:c r="N22" s="6"/>
      <x:c r="O22" s="6"/>
      <x:c r="P22" s="6"/>
      <x:c r="Q22" s="6"/>
    </x:row>
    <x:row r="23" ht="19" customHeight="1">
      <x:c r="A23" s="6" t="str">
        <x:v>Альтернатива</x:v>
      </x:c>
      <x:c r="B23" s="6" t="str">
        <x:v>A3</x:v>
      </x:c>
      <x:c r="C23" s="6" t="str">
        <x:v>K4</x:v>
      </x:c>
      <x:c r="D23" s="22" t="str">
        <x:v>Доступность тестовых данных</x:v>
      </x:c>
      <x:c r="E23" s="30" t="n">
        <x:v>8</x:v>
      </x:c>
      <x:c r="F23" s="30" t="n">
        <x:v>7</x:v>
      </x:c>
      <x:c r="G23" s="30" t="n">
        <x:v>8</x:v>
      </x:c>
      <x:c r="H23" s="32" t="n">
        <x:f>MIN(E23:G23)</x:f>
        <x:v>7</x:v>
      </x:c>
      <x:c r="I23" s="32" t="n">
        <x:f>MEDIAN(E23:G23)</x:f>
        <x:v>8</x:v>
      </x:c>
      <x:c r="J23" s="32" t="n">
        <x:f>MAX(E23:G23)</x:f>
        <x:v>8</x:v>
      </x:c>
      <x:c r="K23" s="6"/>
      <x:c r="L23" s="6"/>
      <x:c r="M23" s="6"/>
      <x:c r="N23" s="6"/>
      <x:c r="O23" s="6"/>
      <x:c r="P23" s="6"/>
      <x:c r="Q23" s="6"/>
    </x:row>
    <x:row r="24" ht="19" customHeight="1">
      <x:c r="A24" s="6" t="str">
        <x:v>Альтернатива</x:v>
      </x:c>
      <x:c r="B24" s="6" t="str">
        <x:v>A3</x:v>
      </x:c>
      <x:c r="C24" s="6" t="str">
        <x:v>K5</x:v>
      </x:c>
      <x:c r="D24" s="22" t="str">
        <x:v>Потенциал развития</x:v>
      </x:c>
      <x:c r="E24" s="30" t="n">
        <x:v>7</x:v>
      </x:c>
      <x:c r="F24" s="30" t="n">
        <x:v>8</x:v>
      </x:c>
      <x:c r="G24" s="30" t="n">
        <x:v>7</x:v>
      </x:c>
      <x:c r="H24" s="32" t="n">
        <x:f>MIN(E24:G24)</x:f>
        <x:v>7</x:v>
      </x:c>
      <x:c r="I24" s="32" t="n">
        <x:f>MEDIAN(E24:G24)</x:f>
        <x:v>7</x:v>
      </x:c>
      <x:c r="J24" s="32" t="n">
        <x:f>MAX(E24:G24)</x:f>
        <x:v>8</x:v>
      </x:c>
      <x:c r="K24" s="6"/>
      <x:c r="L24" s="6"/>
      <x:c r="M24" s="6"/>
      <x:c r="N24" s="6"/>
      <x:c r="O24" s="6"/>
      <x:c r="P24" s="6"/>
      <x:c r="Q24" s="6"/>
    </x:row>
    <x:row r="25" ht="19" customHeight="1">
      <x:c r="A25" s="6" t="str">
        <x:v>Альтернатива</x:v>
      </x:c>
      <x:c r="B25" s="6" t="str">
        <x:v>A4</x:v>
      </x:c>
      <x:c r="C25" s="6" t="str">
        <x:v>K1</x:v>
      </x:c>
      <x:c r="D25" s="22" t="str">
        <x:v>Ценность для студентов</x:v>
      </x:c>
      <x:c r="E25" s="30" t="n">
        <x:v>8</x:v>
      </x:c>
      <x:c r="F25" s="30" t="n">
        <x:v>7</x:v>
      </x:c>
      <x:c r="G25" s="30" t="n">
        <x:v>8</x:v>
      </x:c>
      <x:c r="H25" s="32" t="n">
        <x:f>MIN(E25:G25)</x:f>
        <x:v>7</x:v>
      </x:c>
      <x:c r="I25" s="32" t="n">
        <x:f>MEDIAN(E25:G25)</x:f>
        <x:v>8</x:v>
      </x:c>
      <x:c r="J25" s="32" t="n">
        <x:f>MAX(E25:G25)</x:f>
        <x:v>8</x:v>
      </x:c>
      <x:c r="K25" s="6"/>
      <x:c r="L25" s="6"/>
      <x:c r="M25" s="6"/>
      <x:c r="N25" s="6"/>
      <x:c r="O25" s="6"/>
      <x:c r="P25" s="6"/>
      <x:c r="Q25" s="6"/>
    </x:row>
    <x:row r="26" ht="19" customHeight="1">
      <x:c r="A26" s="6" t="str">
        <x:v>Альтернатива</x:v>
      </x:c>
      <x:c r="B26" s="6" t="str">
        <x:v>A4</x:v>
      </x:c>
      <x:c r="C26" s="6" t="str">
        <x:v>K2</x:v>
      </x:c>
      <x:c r="D26" s="22" t="str">
        <x:v>Реализуемость MVP</x:v>
      </x:c>
      <x:c r="E26" s="30" t="n">
        <x:v>5</x:v>
      </x:c>
      <x:c r="F26" s="30" t="n">
        <x:v>6</x:v>
      </x:c>
      <x:c r="G26" s="30" t="n">
        <x:v>6</x:v>
      </x:c>
      <x:c r="H26" s="32" t="n">
        <x:f>MIN(E26:G26)</x:f>
        <x:v>5</x:v>
      </x:c>
      <x:c r="I26" s="32" t="n">
        <x:f>MEDIAN(E26:G26)</x:f>
        <x:v>6</x:v>
      </x:c>
      <x:c r="J26" s="32" t="n">
        <x:f>MAX(E26:G26)</x:f>
        <x:v>6</x:v>
      </x:c>
      <x:c r="K26" s="6"/>
      <x:c r="L26" s="6"/>
      <x:c r="M26" s="6"/>
      <x:c r="N26" s="6"/>
      <x:c r="O26" s="6"/>
      <x:c r="P26" s="6"/>
      <x:c r="Q26" s="6"/>
    </x:row>
    <x:row r="27" ht="19" customHeight="1">
      <x:c r="A27" s="6" t="str">
        <x:v>Альтернатива</x:v>
      </x:c>
      <x:c r="B27" s="6" t="str">
        <x:v>A4</x:v>
      </x:c>
      <x:c r="C27" s="6" t="str">
        <x:v>K3</x:v>
      </x:c>
      <x:c r="D27" s="22" t="str">
        <x:v>Проверяемость и демо</x:v>
      </x:c>
      <x:c r="E27" s="30" t="n">
        <x:v>6</x:v>
      </x:c>
      <x:c r="F27" s="30" t="n">
        <x:v>7</x:v>
      </x:c>
      <x:c r="G27" s="30" t="n">
        <x:v>7</x:v>
      </x:c>
      <x:c r="H27" s="32" t="n">
        <x:f>MIN(E27:G27)</x:f>
        <x:v>6</x:v>
      </x:c>
      <x:c r="I27" s="32" t="n">
        <x:f>MEDIAN(E27:G27)</x:f>
        <x:v>7</x:v>
      </x:c>
      <x:c r="J27" s="32" t="n">
        <x:f>MAX(E27:G27)</x:f>
        <x:v>7</x:v>
      </x:c>
      <x:c r="K27" s="6"/>
      <x:c r="L27" s="6"/>
      <x:c r="M27" s="6"/>
      <x:c r="N27" s="6"/>
      <x:c r="O27" s="6"/>
      <x:c r="P27" s="6"/>
      <x:c r="Q27" s="6"/>
    </x:row>
    <x:row r="28" ht="19" customHeight="1">
      <x:c r="A28" s="6" t="str">
        <x:v>Альтернатива</x:v>
      </x:c>
      <x:c r="B28" s="6" t="str">
        <x:v>A4</x:v>
      </x:c>
      <x:c r="C28" s="6" t="str">
        <x:v>K4</x:v>
      </x:c>
      <x:c r="D28" s="22" t="str">
        <x:v>Доступность тестовых данных</x:v>
      </x:c>
      <x:c r="E28" s="30" t="n">
        <x:v>6</x:v>
      </x:c>
      <x:c r="F28" s="30" t="n">
        <x:v>7</x:v>
      </x:c>
      <x:c r="G28" s="30" t="n">
        <x:v>7</x:v>
      </x:c>
      <x:c r="H28" s="32" t="n">
        <x:f>MIN(E28:G28)</x:f>
        <x:v>6</x:v>
      </x:c>
      <x:c r="I28" s="32" t="n">
        <x:f>MEDIAN(E28:G28)</x:f>
        <x:v>7</x:v>
      </x:c>
      <x:c r="J28" s="32" t="n">
        <x:f>MAX(E28:G28)</x:f>
        <x:v>7</x:v>
      </x:c>
      <x:c r="K28" s="6"/>
      <x:c r="L28" s="6"/>
      <x:c r="M28" s="6"/>
      <x:c r="N28" s="6"/>
      <x:c r="O28" s="6"/>
      <x:c r="P28" s="6"/>
      <x:c r="Q28" s="6"/>
    </x:row>
    <x:row r="29" ht="19" customHeight="1">
      <x:c r="A29" s="6" t="str">
        <x:v>Альтернатива</x:v>
      </x:c>
      <x:c r="B29" s="6" t="str">
        <x:v>A4</x:v>
      </x:c>
      <x:c r="C29" s="6" t="str">
        <x:v>K5</x:v>
      </x:c>
      <x:c r="D29" s="22" t="str">
        <x:v>Потенциал развития</x:v>
      </x:c>
      <x:c r="E29" s="30" t="n">
        <x:v>9</x:v>
      </x:c>
      <x:c r="F29" s="30" t="n">
        <x:v>8</x:v>
      </x:c>
      <x:c r="G29" s="30" t="n">
        <x:v>9</x:v>
      </x:c>
      <x:c r="H29" s="32" t="n">
        <x:f>MIN(E29:G29)</x:f>
        <x:v>8</x:v>
      </x:c>
      <x:c r="I29" s="32" t="n">
        <x:f>MEDIAN(E29:G29)</x:f>
        <x:v>9</x:v>
      </x:c>
      <x:c r="J29" s="32" t="n">
        <x:f>MAX(E29:G29)</x:f>
        <x:v>9</x:v>
      </x:c>
      <x:c r="K29" s="6"/>
      <x:c r="L29" s="6"/>
      <x:c r="M29" s="6"/>
      <x:c r="N29" s="6"/>
      <x:c r="O29" s="6"/>
      <x:c r="P29" s="6"/>
      <x:c r="Q29" s="6"/>
    </x:row>
    <x:row r="30" ht="19" customHeight="1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  <x:c r="Q30" s="6"/>
    </x:row>
    <x:row r="31" ht="19" customHeight="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  <x:c r="Q31" s="6"/>
    </x:row>
    <x:row r="32" ht="19" customHeight="1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  <x:c r="Q32" s="6"/>
    </x:row>
    <x:row r="33" ht="19" customHeight="1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  <x:c r="Q33" s="6"/>
    </x:row>
    <x:row r="34" ht="19" customHeight="1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  <x:c r="Q34" s="6"/>
    </x:row>
    <x:row r="35" ht="19" customHeight="1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  <x:c r="Q35" s="6"/>
    </x:row>
    <x:row r="36" ht="19" customHeight="1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  <x:c r="Q36" s="6"/>
    </x:row>
    <x:row r="37" ht="19" customHeight="1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  <x:c r="Q37" s="6"/>
    </x:row>
    <x:row r="38" ht="19" customHeight="1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  <x:c r="Q38" s="6"/>
    </x:row>
    <x:row r="39" ht="19" customHeight="1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  <x:c r="Q39" s="6"/>
    </x:row>
    <x:row r="40" ht="19" customHeight="1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  <x:c r="Q40" s="6"/>
    </x:row>
    <x:row r="41" ht="19" customHeight="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  <x:c r="Q41" s="6"/>
    </x:row>
    <x:row r="42" ht="19" customHeight="1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  <x:c r="Q42" s="6"/>
    </x:row>
    <x:row r="43" ht="19" customHeight="1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  <x:c r="Q43" s="6"/>
    </x:row>
    <x:row r="44" ht="19" customHeight="1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  <x:c r="Q44" s="6"/>
    </x:row>
    <x:row r="45" ht="19" customHeight="1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  <x:c r="Q45" s="6"/>
    </x:row>
    <x:row r="46" ht="19" customHeight="1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  <x:c r="Q46" s="6"/>
    </x:row>
    <x:row r="47" ht="19" customHeight="1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  <x:c r="Q47" s="6"/>
    </x:row>
    <x:row r="48" ht="19" customHeight="1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  <x:c r="Q48" s="6"/>
    </x:row>
    <x:row r="49" ht="19" customHeight="1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  <x:c r="Q49" s="6"/>
    </x:row>
    <x:row r="50" ht="19" customHeight="1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  <x:c r="Q50" s="6"/>
    </x:row>
    <x:row r="51" ht="19" customHeight="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  <x:c r="Q51" s="6"/>
    </x:row>
    <x:row r="52" ht="19" customHeight="1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  <x:c r="Q52" s="6"/>
    </x:row>
    <x:row r="53" ht="19" customHeight="1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  <x:c r="Q53" s="6"/>
    </x:row>
    <x:row r="54" ht="19" customHeight="1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  <x:c r="Q54" s="6"/>
    </x:row>
    <x:row r="55" ht="19" customHeight="1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  <x:c r="Q55" s="6"/>
    </x:row>
    <x:row r="56" ht="19" customHeight="1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  <x:c r="Q56" s="6"/>
    </x:row>
    <x:row r="57" ht="19" customHeight="1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  <x:c r="Q57" s="6"/>
    </x:row>
    <x:row r="58" ht="19" customHeight="1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  <x:c r="Q58" s="6"/>
    </x:row>
    <x:row r="59" ht="19" customHeight="1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  <x:c r="Q59" s="6"/>
    </x:row>
    <x:row r="60" ht="19" customHeight="1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  <x:c r="Q60" s="6"/>
    </x:row>
    <x:row r="61" ht="19" customHeight="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  <x:c r="Q61" s="6"/>
    </x:row>
    <x:row r="62" ht="19" customHeight="1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  <x:c r="Q62" s="6"/>
    </x:row>
    <x:row r="63" ht="19" customHeight="1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  <x:c r="Q63" s="6"/>
    </x:row>
    <x:row r="64" ht="19" customHeight="1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  <x:c r="Q64" s="6"/>
    </x:row>
    <x:row r="65" ht="19" customHeight="1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</x:row>
    <x:row r="66" ht="19" customHeight="1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  <x:c r="Q66" s="6"/>
    </x:row>
    <x:row r="67" ht="19" customHeight="1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  <x:c r="Q67" s="6"/>
    </x:row>
    <x:row r="68" ht="19" customHeight="1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  <x:c r="Q68" s="6"/>
    </x:row>
    <x:row r="69" ht="19" customHeight="1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  <x:c r="Q69" s="6"/>
    </x:row>
    <x:row r="70" ht="19" customHeight="1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</x:row>
    <x:row r="71" ht="19" customHeight="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  <x:c r="Q71" s="6"/>
    </x:row>
    <x:row r="72" ht="19" customHeight="1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  <x:c r="Q72" s="6"/>
    </x:row>
    <x:row r="73" ht="19" customHeight="1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  <x:c r="Q73" s="6"/>
    </x:row>
    <x:row r="74" ht="19" customHeight="1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  <x:c r="Q74" s="6"/>
    </x:row>
    <x:row r="75" ht="19" customHeight="1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  <x:c r="Q75" s="6"/>
    </x:row>
    <x:row r="76" ht="19" customHeight="1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  <x:c r="Q76" s="6"/>
    </x:row>
    <x:row r="77" ht="19" customHeight="1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  <x:c r="Q77" s="6"/>
    </x:row>
    <x:row r="78" ht="19" customHeight="1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  <x:c r="Q78" s="6"/>
    </x:row>
    <x:row r="79" ht="19" customHeight="1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  <x:c r="Q79" s="6"/>
    </x:row>
    <x:row r="80" ht="19" customHeight="1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  <x:c r="Q80" s="6"/>
    </x:row>
    <x:row r="81" ht="19" customHeight="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  <x:c r="Q81" s="6"/>
    </x:row>
    <x:row r="82" ht="19" customHeight="1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  <x:c r="Q82" s="6"/>
    </x:row>
    <x:row r="83" ht="19" customHeight="1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  <x:c r="Q83" s="6"/>
    </x:row>
    <x:row r="84" ht="19" customHeight="1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  <x:c r="Q84" s="6"/>
    </x:row>
    <x:row r="85" ht="19" customHeight="1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</x:row>
    <x:row r="86" ht="19" customHeight="1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  <x:c r="Q86" s="6"/>
    </x:row>
    <x:row r="87" ht="19" customHeight="1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  <x:c r="Q87" s="6"/>
    </x:row>
    <x:row r="88" ht="19" customHeight="1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  <x:c r="Q88" s="6"/>
    </x:row>
    <x:row r="89" ht="19" customHeight="1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  <x:c r="Q89" s="6"/>
    </x:row>
    <x:row r="90" ht="19" customHeight="1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  <x:c r="Q90" s="6"/>
    </x:row>
    <x:row r="91" ht="19" customHeight="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  <x:c r="Q91" s="6"/>
    </x:row>
    <x:row r="92" ht="19" customHeight="1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  <x:c r="Q92" s="6"/>
    </x:row>
    <x:row r="93" ht="19" customHeight="1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  <x:c r="Q93" s="6"/>
    </x:row>
    <x:row r="94" ht="19" customHeight="1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  <x:c r="Q94" s="6"/>
    </x:row>
    <x:row r="95" ht="19" customHeight="1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  <x:c r="Q95" s="6"/>
    </x:row>
    <x:row r="96" ht="19" customHeight="1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  <x:c r="Q96" s="6"/>
    </x:row>
    <x:row r="97" ht="19" customHeight="1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  <x:c r="Q97" s="6"/>
    </x:row>
    <x:row r="98" ht="19" customHeight="1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  <x:c r="Q98" s="6"/>
    </x:row>
    <x:row r="99" ht="19" customHeight="1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  <x:c r="Q99" s="6"/>
    </x:row>
    <x:row r="100" ht="19" customHeight="1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  <x:c r="Q100" s="6"/>
    </x:row>
    <x:row r="101" ht="19" customHeight="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  <x:c r="L101" s="6"/>
      <x:c r="M101" s="6"/>
      <x:c r="N101" s="6"/>
      <x:c r="O101" s="6"/>
      <x:c r="P101" s="6"/>
      <x:c r="Q101" s="6"/>
    </x:row>
    <x:row r="102" ht="19" customHeight="1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  <x:c r="M102" s="6"/>
      <x:c r="N102" s="6"/>
      <x:c r="O102" s="6"/>
      <x:c r="P102" s="6"/>
      <x:c r="Q102" s="6"/>
    </x:row>
    <x:row r="103" ht="19" customHeight="1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  <x:c r="L103" s="6"/>
      <x:c r="M103" s="6"/>
      <x:c r="N103" s="6"/>
      <x:c r="O103" s="6"/>
      <x:c r="P103" s="6"/>
      <x:c r="Q103" s="6"/>
    </x:row>
    <x:row r="104" ht="19" customHeight="1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  <x:c r="M104" s="6"/>
      <x:c r="N104" s="6"/>
      <x:c r="O104" s="6"/>
      <x:c r="P104" s="6"/>
      <x:c r="Q104" s="6"/>
    </x:row>
    <x:row r="105" ht="19" customHeight="1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  <x:c r="M105" s="6"/>
      <x:c r="N105" s="6"/>
      <x:c r="O105" s="6"/>
      <x:c r="P105" s="6"/>
      <x:c r="Q105" s="6"/>
    </x:row>
    <x:row r="106" ht="19" customHeight="1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  <x:c r="M106" s="6"/>
      <x:c r="N106" s="6"/>
      <x:c r="O106" s="6"/>
      <x:c r="P106" s="6"/>
      <x:c r="Q106" s="6"/>
    </x:row>
    <x:row r="107" ht="19" customHeight="1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  <x:c r="M107" s="6"/>
      <x:c r="N107" s="6"/>
      <x:c r="O107" s="6"/>
      <x:c r="P107" s="6"/>
      <x:c r="Q107" s="6"/>
    </x:row>
    <x:row r="108" ht="19" customHeight="1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  <x:c r="M108" s="6"/>
      <x:c r="N108" s="6"/>
      <x:c r="O108" s="6"/>
      <x:c r="P108" s="6"/>
      <x:c r="Q108" s="6"/>
    </x:row>
    <x:row r="109" ht="19" customHeight="1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  <x:c r="L109" s="6"/>
      <x:c r="M109" s="6"/>
      <x:c r="N109" s="6"/>
      <x:c r="O109" s="6"/>
      <x:c r="P109" s="6"/>
      <x:c r="Q109" s="6"/>
    </x:row>
    <x:row r="110" ht="19" customHeight="1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  <x:c r="L110" s="6"/>
      <x:c r="M110" s="6"/>
      <x:c r="N110" s="6"/>
      <x:c r="O110" s="6"/>
      <x:c r="P110" s="6"/>
      <x:c r="Q110" s="6"/>
    </x:row>
    <x:row r="111" ht="19" customHeight="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  <x:c r="L111" s="6"/>
      <x:c r="M111" s="6"/>
      <x:c r="N111" s="6"/>
      <x:c r="O111" s="6"/>
      <x:c r="P111" s="6"/>
      <x:c r="Q111" s="6"/>
    </x:row>
    <x:row r="112" ht="19" customHeight="1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  <x:c r="L112" s="6"/>
      <x:c r="M112" s="6"/>
      <x:c r="N112" s="6"/>
      <x:c r="O112" s="6"/>
      <x:c r="P112" s="6"/>
      <x:c r="Q112" s="6"/>
    </x:row>
    <x:row r="113" ht="19" customHeight="1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  <x:c r="L113" s="6"/>
      <x:c r="M113" s="6"/>
      <x:c r="N113" s="6"/>
      <x:c r="O113" s="6"/>
      <x:c r="P113" s="6"/>
      <x:c r="Q113" s="6"/>
    </x:row>
    <x:row r="114" ht="19" customHeight="1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  <x:c r="L114" s="6"/>
      <x:c r="M114" s="6"/>
      <x:c r="N114" s="6"/>
      <x:c r="O114" s="6"/>
      <x:c r="P114" s="6"/>
      <x:c r="Q114" s="6"/>
    </x:row>
    <x:row r="115" ht="19" customHeight="1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  <x:c r="M115" s="6"/>
      <x:c r="N115" s="6"/>
      <x:c r="O115" s="6"/>
      <x:c r="P115" s="6"/>
      <x:c r="Q115" s="6"/>
    </x:row>
    <x:row r="116" ht="19" customHeight="1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  <x:c r="L116" s="6"/>
      <x:c r="M116" s="6"/>
      <x:c r="N116" s="6"/>
      <x:c r="O116" s="6"/>
      <x:c r="P116" s="6"/>
      <x:c r="Q116" s="6"/>
    </x:row>
    <x:row r="117" ht="19" customHeight="1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  <x:c r="M117" s="6"/>
      <x:c r="N117" s="6"/>
      <x:c r="O117" s="6"/>
      <x:c r="P117" s="6"/>
      <x:c r="Q117" s="6"/>
    </x:row>
    <x:row r="118" ht="19" customHeight="1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  <x:c r="M118" s="6"/>
      <x:c r="N118" s="6"/>
      <x:c r="O118" s="6"/>
      <x:c r="P118" s="6"/>
      <x:c r="Q118" s="6"/>
    </x:row>
    <x:row r="119" ht="19" customHeight="1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  <x:c r="M119" s="6"/>
      <x:c r="N119" s="6"/>
      <x:c r="O119" s="6"/>
      <x:c r="P119" s="6"/>
      <x:c r="Q119" s="6"/>
    </x:row>
    <x:row r="120" ht="19" customHeight="1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  <x:c r="M120" s="6"/>
      <x:c r="N120" s="6"/>
      <x:c r="O120" s="6"/>
      <x:c r="P120" s="6"/>
      <x:c r="Q120" s="6"/>
    </x:row>
    <x:row r="121" ht="19" customHeight="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  <x:c r="M121" s="6"/>
      <x:c r="N121" s="6"/>
      <x:c r="O121" s="6"/>
      <x:c r="P121" s="6"/>
      <x:c r="Q121" s="6"/>
    </x:row>
    <x:row r="122" ht="19" customHeight="1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  <x:c r="L122" s="6"/>
      <x:c r="M122" s="6"/>
      <x:c r="N122" s="6"/>
      <x:c r="O122" s="6"/>
      <x:c r="P122" s="6"/>
      <x:c r="Q122" s="6"/>
    </x:row>
    <x:row r="123" ht="19" customHeight="1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  <x:c r="L123" s="6"/>
      <x:c r="M123" s="6"/>
      <x:c r="N123" s="6"/>
      <x:c r="O123" s="6"/>
      <x:c r="P123" s="6"/>
      <x:c r="Q123" s="6"/>
    </x:row>
    <x:row r="124" ht="19" customHeight="1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  <x:c r="L124" s="6"/>
      <x:c r="M124" s="6"/>
      <x:c r="N124" s="6"/>
      <x:c r="O124" s="6"/>
      <x:c r="P124" s="6"/>
      <x:c r="Q124" s="6"/>
    </x:row>
    <x:row r="125" ht="19" customHeight="1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  <x:c r="L125" s="6"/>
      <x:c r="M125" s="6"/>
      <x:c r="N125" s="6"/>
      <x:c r="O125" s="6"/>
      <x:c r="P125" s="6"/>
      <x:c r="Q125" s="6"/>
    </x:row>
    <x:row r="126" ht="19" customHeight="1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  <x:c r="L126" s="6"/>
      <x:c r="M126" s="6"/>
      <x:c r="N126" s="6"/>
      <x:c r="O126" s="6"/>
      <x:c r="P126" s="6"/>
      <x:c r="Q126" s="6"/>
    </x:row>
    <x:row r="127" ht="19" customHeight="1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  <x:c r="L127" s="6"/>
      <x:c r="M127" s="6"/>
      <x:c r="N127" s="6"/>
      <x:c r="O127" s="6"/>
      <x:c r="P127" s="6"/>
      <x:c r="Q127" s="6"/>
    </x:row>
    <x:row r="128" ht="19" customHeight="1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  <x:c r="M128" s="6"/>
      <x:c r="N128" s="6"/>
      <x:c r="O128" s="6"/>
      <x:c r="P128" s="6"/>
      <x:c r="Q128" s="6"/>
    </x:row>
    <x:row r="129" ht="19" customHeight="1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  <x:c r="L129" s="6"/>
      <x:c r="M129" s="6"/>
      <x:c r="N129" s="6"/>
      <x:c r="O129" s="6"/>
      <x:c r="P129" s="6"/>
      <x:c r="Q129" s="6"/>
    </x:row>
    <x:row r="130" ht="19" customHeight="1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  <x:c r="M130" s="6"/>
      <x:c r="N130" s="6"/>
      <x:c r="O130" s="6"/>
      <x:c r="P130" s="6"/>
      <x:c r="Q130" s="6"/>
    </x:row>
    <x:row r="131" ht="19" customHeight="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  <x:c r="M131" s="6"/>
      <x:c r="N131" s="6"/>
      <x:c r="O131" s="6"/>
      <x:c r="P131" s="6"/>
      <x:c r="Q131" s="6"/>
    </x:row>
    <x:row r="132" ht="19" customHeight="1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  <x:c r="M132" s="6"/>
      <x:c r="N132" s="6"/>
      <x:c r="O132" s="6"/>
      <x:c r="P132" s="6"/>
      <x:c r="Q132" s="6"/>
    </x:row>
    <x:row r="133" ht="19" customHeight="1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  <x:c r="M133" s="6"/>
      <x:c r="N133" s="6"/>
      <x:c r="O133" s="6"/>
      <x:c r="P133" s="6"/>
      <x:c r="Q133" s="6"/>
    </x:row>
    <x:row r="134" ht="19" customHeight="1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  <x:c r="M134" s="6"/>
      <x:c r="N134" s="6"/>
      <x:c r="O134" s="6"/>
      <x:c r="P134" s="6"/>
      <x:c r="Q134" s="6"/>
    </x:row>
    <x:row r="135" ht="19" customHeight="1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  <x:c r="M135" s="6"/>
      <x:c r="N135" s="6"/>
      <x:c r="O135" s="6"/>
      <x:c r="P135" s="6"/>
      <x:c r="Q135" s="6"/>
    </x:row>
    <x:row r="136" ht="19" customHeight="1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  <x:c r="M136" s="6"/>
      <x:c r="N136" s="6"/>
      <x:c r="O136" s="6"/>
      <x:c r="P136" s="6"/>
      <x:c r="Q136" s="6"/>
    </x:row>
    <x:row r="137" ht="19" customHeight="1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  <x:c r="M137" s="6"/>
      <x:c r="N137" s="6"/>
      <x:c r="O137" s="6"/>
      <x:c r="P137" s="6"/>
      <x:c r="Q137" s="6"/>
    </x:row>
    <x:row r="138" ht="19" customHeight="1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  <x:c r="M138" s="6"/>
      <x:c r="N138" s="6"/>
      <x:c r="O138" s="6"/>
      <x:c r="P138" s="6"/>
      <x:c r="Q138" s="6"/>
    </x:row>
    <x:row r="139" ht="19" customHeight="1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  <x:c r="N139" s="6"/>
      <x:c r="O139" s="6"/>
      <x:c r="P139" s="6"/>
      <x:c r="Q139" s="6"/>
    </x:row>
    <x:row r="140" ht="19" customHeight="1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  <x:c r="M140" s="6"/>
      <x:c r="N140" s="6"/>
      <x:c r="O140" s="6"/>
      <x:c r="P140" s="6"/>
      <x:c r="Q140" s="6"/>
    </x:row>
    <x:row r="141" ht="19" customHeight="1">
      <x:c r="A141" s="6"/>
      <x:c r="B141" s="6"/>
      <x:c r="C141" s="6"/>
      <x:c r="D141" s="6"/>
      <x:c r="E141" s="6"/>
      <x:c r="F141" s="6"/>
      <x:c r="G141" s="6"/>
      <x:c r="H141" s="6"/>
      <x:c r="I141" s="6"/>
      <x:c r="J141" s="6"/>
      <x:c r="K141" s="6"/>
      <x:c r="L141" s="6"/>
      <x:c r="M141" s="6"/>
      <x:c r="N141" s="6"/>
      <x:c r="O141" s="6"/>
      <x:c r="P141" s="6"/>
      <x:c r="Q141" s="6"/>
    </x:row>
    <x:row r="142" ht="19" customHeight="1">
      <x:c r="A142" s="6"/>
      <x:c r="B142" s="6"/>
      <x:c r="C142" s="6"/>
      <x:c r="D142" s="6"/>
      <x:c r="E142" s="6"/>
      <x:c r="F142" s="6"/>
      <x:c r="G142" s="6"/>
      <x:c r="H142" s="6"/>
      <x:c r="I142" s="6"/>
      <x:c r="J142" s="6"/>
      <x:c r="K142" s="6"/>
      <x:c r="L142" s="6"/>
      <x:c r="M142" s="6"/>
      <x:c r="N142" s="6"/>
      <x:c r="O142" s="6"/>
      <x:c r="P142" s="6"/>
      <x:c r="Q142" s="6"/>
    </x:row>
    <x:row r="143" ht="19" customHeight="1">
      <x:c r="A143" s="6"/>
      <x:c r="B143" s="6"/>
      <x:c r="C143" s="6"/>
      <x:c r="D143" s="6"/>
      <x:c r="E143" s="6"/>
      <x:c r="F143" s="6"/>
      <x:c r="G143" s="6"/>
      <x:c r="H143" s="6"/>
      <x:c r="I143" s="6"/>
      <x:c r="J143" s="6"/>
      <x:c r="K143" s="6"/>
      <x:c r="L143" s="6"/>
      <x:c r="M143" s="6"/>
      <x:c r="N143" s="6"/>
      <x:c r="O143" s="6"/>
      <x:c r="P143" s="6"/>
      <x:c r="Q143" s="6"/>
    </x:row>
    <x:row r="144" ht="19" customHeight="1">
      <x:c r="A144" s="6"/>
      <x:c r="B144" s="6"/>
      <x:c r="C144" s="6"/>
      <x:c r="D144" s="6"/>
      <x:c r="E144" s="6"/>
      <x:c r="F144" s="6"/>
      <x:c r="G144" s="6"/>
      <x:c r="H144" s="6"/>
      <x:c r="I144" s="6"/>
      <x:c r="J144" s="6"/>
      <x:c r="K144" s="6"/>
      <x:c r="L144" s="6"/>
      <x:c r="M144" s="6"/>
      <x:c r="N144" s="6"/>
      <x:c r="O144" s="6"/>
      <x:c r="P144" s="6"/>
      <x:c r="Q144" s="6"/>
    </x:row>
    <x:row r="145" ht="19" customHeight="1">
      <x:c r="A145" s="6"/>
      <x:c r="B145" s="6"/>
      <x:c r="C145" s="6"/>
      <x:c r="D145" s="6"/>
      <x:c r="E145" s="6"/>
      <x:c r="F145" s="6"/>
      <x:c r="G145" s="6"/>
      <x:c r="H145" s="6"/>
      <x:c r="I145" s="6"/>
      <x:c r="J145" s="6"/>
      <x:c r="K145" s="6"/>
      <x:c r="L145" s="6"/>
      <x:c r="M145" s="6"/>
      <x:c r="N145" s="6"/>
      <x:c r="O145" s="6"/>
      <x:c r="P145" s="6"/>
      <x:c r="Q145" s="6"/>
    </x:row>
    <x:row r="146" ht="19" customHeight="1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  <x:c r="K146" s="6"/>
      <x:c r="L146" s="6"/>
      <x:c r="M146" s="6"/>
      <x:c r="N146" s="6"/>
      <x:c r="O146" s="6"/>
      <x:c r="P146" s="6"/>
      <x:c r="Q146" s="6"/>
    </x:row>
    <x:row r="147" ht="19" customHeight="1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  <x:c r="K147" s="6"/>
      <x:c r="L147" s="6"/>
      <x:c r="M147" s="6"/>
      <x:c r="N147" s="6"/>
      <x:c r="O147" s="6"/>
      <x:c r="P147" s="6"/>
      <x:c r="Q147" s="6"/>
    </x:row>
    <x:row r="148" ht="19" customHeight="1">
      <x:c r="A148" s="6"/>
      <x:c r="B148" s="6"/>
      <x:c r="C148" s="6"/>
      <x:c r="D148" s="6"/>
      <x:c r="E148" s="6"/>
      <x:c r="F148" s="6"/>
      <x:c r="G148" s="6"/>
      <x:c r="H148" s="6"/>
      <x:c r="I148" s="6"/>
      <x:c r="J148" s="6"/>
      <x:c r="K148" s="6"/>
      <x:c r="L148" s="6"/>
      <x:c r="M148" s="6"/>
      <x:c r="N148" s="6"/>
      <x:c r="O148" s="6"/>
      <x:c r="P148" s="6"/>
      <x:c r="Q148" s="6"/>
    </x:row>
    <x:row r="149" ht="19" customHeight="1">
      <x:c r="A149" s="6"/>
      <x:c r="B149" s="6"/>
      <x:c r="C149" s="6"/>
      <x:c r="D149" s="6"/>
      <x:c r="E149" s="6"/>
      <x:c r="F149" s="6"/>
      <x:c r="G149" s="6"/>
      <x:c r="H149" s="6"/>
      <x:c r="I149" s="6"/>
      <x:c r="J149" s="6"/>
      <x:c r="K149" s="6"/>
      <x:c r="L149" s="6"/>
      <x:c r="M149" s="6"/>
      <x:c r="N149" s="6"/>
      <x:c r="O149" s="6"/>
      <x:c r="P149" s="6"/>
      <x:c r="Q149" s="6"/>
    </x:row>
    <x:row r="150" ht="19" customHeight="1">
      <x:c r="A150" s="6"/>
      <x:c r="B150" s="6"/>
      <x:c r="C150" s="6"/>
      <x:c r="D150" s="6"/>
      <x:c r="E150" s="6"/>
      <x:c r="F150" s="6"/>
      <x:c r="G150" s="6"/>
      <x:c r="H150" s="6"/>
      <x:c r="I150" s="6"/>
      <x:c r="J150" s="6"/>
      <x:c r="K150" s="6"/>
      <x:c r="L150" s="6"/>
      <x:c r="M150" s="6"/>
      <x:c r="N150" s="6"/>
      <x:c r="O150" s="6"/>
      <x:c r="P150" s="6"/>
      <x:c r="Q150" s="6"/>
    </x:row>
    <x:row r="151" ht="19" customHeight="1">
      <x:c r="A151" s="6"/>
      <x:c r="B151" s="6"/>
      <x:c r="C151" s="6"/>
      <x:c r="D151" s="6"/>
      <x:c r="E151" s="6"/>
      <x:c r="F151" s="6"/>
      <x:c r="G151" s="6"/>
      <x:c r="H151" s="6"/>
      <x:c r="I151" s="6"/>
      <x:c r="J151" s="6"/>
      <x:c r="K151" s="6"/>
      <x:c r="L151" s="6"/>
      <x:c r="M151" s="6"/>
      <x:c r="N151" s="6"/>
      <x:c r="O151" s="6"/>
      <x:c r="P151" s="6"/>
      <x:c r="Q151" s="6"/>
    </x:row>
    <x:row r="152" ht="19" customHeight="1">
      <x:c r="A152" s="6"/>
      <x:c r="B152" s="6"/>
      <x:c r="C152" s="6"/>
      <x:c r="D152" s="6"/>
      <x:c r="E152" s="6"/>
      <x:c r="F152" s="6"/>
      <x:c r="G152" s="6"/>
      <x:c r="H152" s="6"/>
      <x:c r="I152" s="6"/>
      <x:c r="J152" s="6"/>
      <x:c r="K152" s="6"/>
      <x:c r="L152" s="6"/>
      <x:c r="M152" s="6"/>
      <x:c r="N152" s="6"/>
      <x:c r="O152" s="6"/>
      <x:c r="P152" s="6"/>
      <x:c r="Q152" s="6"/>
    </x:row>
    <x:row r="153" ht="19" customHeight="1">
      <x:c r="A153" s="6"/>
      <x:c r="B153" s="6"/>
      <x:c r="C153" s="6"/>
      <x:c r="D153" s="6"/>
      <x:c r="E153" s="6"/>
      <x:c r="F153" s="6"/>
      <x:c r="G153" s="6"/>
      <x:c r="H153" s="6"/>
      <x:c r="I153" s="6"/>
      <x:c r="J153" s="6"/>
      <x:c r="K153" s="6"/>
      <x:c r="L153" s="6"/>
      <x:c r="M153" s="6"/>
      <x:c r="N153" s="6"/>
      <x:c r="O153" s="6"/>
      <x:c r="P153" s="6"/>
      <x:c r="Q153" s="6"/>
    </x:row>
    <x:row r="154" ht="19" customHeight="1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  <x:c r="K154" s="6"/>
      <x:c r="L154" s="6"/>
      <x:c r="M154" s="6"/>
      <x:c r="N154" s="6"/>
      <x:c r="O154" s="6"/>
      <x:c r="P154" s="6"/>
      <x:c r="Q154" s="6"/>
    </x:row>
    <x:row r="155" ht="19" customHeight="1">
      <x:c r="A155" s="6"/>
      <x:c r="B155" s="6"/>
      <x:c r="C155" s="6"/>
      <x:c r="D155" s="6"/>
      <x:c r="E155" s="6"/>
      <x:c r="F155" s="6"/>
      <x:c r="G155" s="6"/>
      <x:c r="H155" s="6"/>
      <x:c r="I155" s="6"/>
      <x:c r="J155" s="6"/>
      <x:c r="K155" s="6"/>
      <x:c r="L155" s="6"/>
      <x:c r="M155" s="6"/>
      <x:c r="N155" s="6"/>
      <x:c r="O155" s="6"/>
      <x:c r="P155" s="6"/>
      <x:c r="Q155" s="6"/>
    </x:row>
    <x:row r="156" ht="19" customHeight="1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  <x:c r="K156" s="6"/>
      <x:c r="L156" s="6"/>
      <x:c r="M156" s="6"/>
      <x:c r="N156" s="6"/>
      <x:c r="O156" s="6"/>
      <x:c r="P156" s="6"/>
      <x:c r="Q156" s="6"/>
    </x:row>
    <x:row r="157" ht="19" customHeight="1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  <x:c r="K157" s="6"/>
      <x:c r="L157" s="6"/>
      <x:c r="M157" s="6"/>
      <x:c r="N157" s="6"/>
      <x:c r="O157" s="6"/>
      <x:c r="P157" s="6"/>
      <x:c r="Q157" s="6"/>
    </x:row>
    <x:row r="158" ht="19" customHeight="1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  <x:c r="K158" s="6"/>
      <x:c r="L158" s="6"/>
      <x:c r="M158" s="6"/>
      <x:c r="N158" s="6"/>
      <x:c r="O158" s="6"/>
      <x:c r="P158" s="6"/>
      <x:c r="Q158" s="6"/>
    </x:row>
    <x:row r="159" ht="19" customHeight="1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  <x:c r="K159" s="6"/>
      <x:c r="L159" s="6"/>
      <x:c r="M159" s="6"/>
      <x:c r="N159" s="6"/>
      <x:c r="O159" s="6"/>
      <x:c r="P159" s="6"/>
      <x:c r="Q159" s="6"/>
    </x:row>
    <x:row r="160" ht="19" customHeight="1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  <x:c r="K160" s="6"/>
      <x:c r="L160" s="6"/>
      <x:c r="M160" s="6"/>
      <x:c r="N160" s="6"/>
      <x:c r="O160" s="6"/>
      <x:c r="P160" s="6"/>
      <x:c r="Q160" s="6"/>
    </x:row>
    <x:row r="161" ht="19" customHeight="1">
      <x:c r="A161" s="6"/>
      <x:c r="B161" s="6"/>
      <x:c r="C161" s="6"/>
      <x:c r="D161" s="6"/>
      <x:c r="E161" s="6"/>
      <x:c r="F161" s="6"/>
      <x:c r="G161" s="6"/>
      <x:c r="H161" s="6"/>
      <x:c r="I161" s="6"/>
      <x:c r="J161" s="6"/>
      <x:c r="K161" s="6"/>
      <x:c r="L161" s="6"/>
      <x:c r="M161" s="6"/>
      <x:c r="N161" s="6"/>
      <x:c r="O161" s="6"/>
      <x:c r="P161" s="6"/>
      <x:c r="Q161" s="6"/>
    </x:row>
    <x:row r="162" ht="19" customHeight="1">
      <x:c r="A162" s="6"/>
      <x:c r="B162" s="6"/>
      <x:c r="C162" s="6"/>
      <x:c r="D162" s="6"/>
      <x:c r="E162" s="6"/>
      <x:c r="F162" s="6"/>
      <x:c r="G162" s="6"/>
      <x:c r="H162" s="6"/>
      <x:c r="I162" s="6"/>
      <x:c r="J162" s="6"/>
      <x:c r="K162" s="6"/>
      <x:c r="L162" s="6"/>
      <x:c r="M162" s="6"/>
      <x:c r="N162" s="6"/>
      <x:c r="O162" s="6"/>
      <x:c r="P162" s="6"/>
      <x:c r="Q162" s="6"/>
    </x:row>
    <x:row r="163" ht="19" customHeight="1">
      <x:c r="A163" s="6"/>
      <x:c r="B163" s="6"/>
      <x:c r="C163" s="6"/>
      <x:c r="D163" s="6"/>
      <x:c r="E163" s="6"/>
      <x:c r="F163" s="6"/>
      <x:c r="G163" s="6"/>
      <x:c r="H163" s="6"/>
      <x:c r="I163" s="6"/>
      <x:c r="J163" s="6"/>
      <x:c r="K163" s="6"/>
      <x:c r="L163" s="6"/>
      <x:c r="M163" s="6"/>
      <x:c r="N163" s="6"/>
      <x:c r="O163" s="6"/>
      <x:c r="P163" s="6"/>
      <x:c r="Q163" s="6"/>
    </x:row>
    <x:row r="164" ht="19" customHeight="1">
      <x:c r="A164" s="6"/>
      <x:c r="B164" s="6"/>
      <x:c r="C164" s="6"/>
      <x:c r="D164" s="6"/>
      <x:c r="E164" s="6"/>
      <x:c r="F164" s="6"/>
      <x:c r="G164" s="6"/>
      <x:c r="H164" s="6"/>
      <x:c r="I164" s="6"/>
      <x:c r="J164" s="6"/>
      <x:c r="K164" s="6"/>
      <x:c r="L164" s="6"/>
      <x:c r="M164" s="6"/>
      <x:c r="N164" s="6"/>
      <x:c r="O164" s="6"/>
      <x:c r="P164" s="6"/>
      <x:c r="Q164" s="6"/>
    </x:row>
    <x:row r="165" ht="19" customHeight="1">
      <x:c r="A165" s="6"/>
      <x:c r="B165" s="6"/>
      <x:c r="C165" s="6"/>
      <x:c r="D165" s="6"/>
      <x:c r="E165" s="6"/>
      <x:c r="F165" s="6"/>
      <x:c r="G165" s="6"/>
      <x:c r="H165" s="6"/>
      <x:c r="I165" s="6"/>
      <x:c r="J165" s="6"/>
      <x:c r="K165" s="6"/>
      <x:c r="L165" s="6"/>
      <x:c r="M165" s="6"/>
      <x:c r="N165" s="6"/>
      <x:c r="O165" s="6"/>
      <x:c r="P165" s="6"/>
      <x:c r="Q165" s="6"/>
    </x:row>
    <x:row r="166" ht="19" customHeight="1">
      <x:c r="A166" s="6"/>
      <x:c r="B166" s="6"/>
      <x:c r="C166" s="6"/>
      <x:c r="D166" s="6"/>
      <x:c r="E166" s="6"/>
      <x:c r="F166" s="6"/>
      <x:c r="G166" s="6"/>
      <x:c r="H166" s="6"/>
      <x:c r="I166" s="6"/>
      <x:c r="J166" s="6"/>
      <x:c r="K166" s="6"/>
      <x:c r="L166" s="6"/>
      <x:c r="M166" s="6"/>
      <x:c r="N166" s="6"/>
      <x:c r="O166" s="6"/>
      <x:c r="P166" s="6"/>
      <x:c r="Q166" s="6"/>
    </x:row>
    <x:row r="167" ht="19" customHeight="1">
      <x:c r="A167" s="6"/>
      <x:c r="B167" s="6"/>
      <x:c r="C167" s="6"/>
      <x:c r="D167" s="6"/>
      <x:c r="E167" s="6"/>
      <x:c r="F167" s="6"/>
      <x:c r="G167" s="6"/>
      <x:c r="H167" s="6"/>
      <x:c r="I167" s="6"/>
      <x:c r="J167" s="6"/>
      <x:c r="K167" s="6"/>
      <x:c r="L167" s="6"/>
      <x:c r="M167" s="6"/>
      <x:c r="N167" s="6"/>
      <x:c r="O167" s="6"/>
      <x:c r="P167" s="6"/>
      <x:c r="Q167" s="6"/>
    </x:row>
    <x:row r="168" ht="19" customHeight="1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  <x:c r="K168" s="6"/>
      <x:c r="L168" s="6"/>
      <x:c r="M168" s="6"/>
      <x:c r="N168" s="6"/>
      <x:c r="O168" s="6"/>
      <x:c r="P168" s="6"/>
      <x:c r="Q168" s="6"/>
    </x:row>
    <x:row r="169" ht="19" customHeight="1">
      <x:c r="A169" s="6"/>
      <x:c r="B169" s="6"/>
      <x:c r="C169" s="6"/>
      <x:c r="D169" s="6"/>
      <x:c r="E169" s="6"/>
      <x:c r="F169" s="6"/>
      <x:c r="G169" s="6"/>
      <x:c r="H169" s="6"/>
      <x:c r="I169" s="6"/>
      <x:c r="J169" s="6"/>
      <x:c r="K169" s="6"/>
      <x:c r="L169" s="6"/>
      <x:c r="M169" s="6"/>
      <x:c r="N169" s="6"/>
      <x:c r="O169" s="6"/>
      <x:c r="P169" s="6"/>
      <x:c r="Q169" s="6"/>
    </x:row>
    <x:row r="170" ht="19" customHeight="1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  <x:c r="K170" s="6"/>
      <x:c r="L170" s="6"/>
      <x:c r="M170" s="6"/>
      <x:c r="N170" s="6"/>
      <x:c r="O170" s="6"/>
      <x:c r="P170" s="6"/>
      <x:c r="Q170" s="6"/>
    </x:row>
    <x:row r="171" ht="19" customHeight="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  <x:c r="M171" s="6"/>
      <x:c r="N171" s="6"/>
      <x:c r="O171" s="6"/>
      <x:c r="P171" s="6"/>
      <x:c r="Q171" s="6"/>
    </x:row>
    <x:row r="172" ht="19" customHeight="1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  <x:c r="K172" s="6"/>
      <x:c r="L172" s="6"/>
      <x:c r="M172" s="6"/>
      <x:c r="N172" s="6"/>
      <x:c r="O172" s="6"/>
      <x:c r="P172" s="6"/>
      <x:c r="Q172" s="6"/>
    </x:row>
    <x:row r="173" ht="19" customHeight="1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  <x:c r="K173" s="6"/>
      <x:c r="L173" s="6"/>
      <x:c r="M173" s="6"/>
      <x:c r="N173" s="6"/>
      <x:c r="O173" s="6"/>
      <x:c r="P173" s="6"/>
      <x:c r="Q173" s="6"/>
    </x:row>
    <x:row r="174" ht="19" customHeight="1">
      <x:c r="A174" s="6"/>
      <x:c r="B174" s="6"/>
      <x:c r="C174" s="6"/>
      <x:c r="D174" s="6"/>
      <x:c r="E174" s="6"/>
      <x:c r="F174" s="6"/>
      <x:c r="G174" s="6"/>
      <x:c r="H174" s="6"/>
      <x:c r="I174" s="6"/>
      <x:c r="J174" s="6"/>
      <x:c r="K174" s="6"/>
      <x:c r="L174" s="6"/>
      <x:c r="M174" s="6"/>
      <x:c r="N174" s="6"/>
      <x:c r="O174" s="6"/>
      <x:c r="P174" s="6"/>
      <x:c r="Q174" s="6"/>
    </x:row>
    <x:row r="175" ht="19" customHeight="1">
      <x:c r="A175" s="6"/>
      <x:c r="B175" s="6"/>
      <x:c r="C175" s="6"/>
      <x:c r="D175" s="6"/>
      <x:c r="E175" s="6"/>
      <x:c r="F175" s="6"/>
      <x:c r="G175" s="6"/>
      <x:c r="H175" s="6"/>
      <x:c r="I175" s="6"/>
      <x:c r="J175" s="6"/>
      <x:c r="K175" s="6"/>
      <x:c r="L175" s="6"/>
      <x:c r="M175" s="6"/>
      <x:c r="N175" s="6"/>
      <x:c r="O175" s="6"/>
      <x:c r="P175" s="6"/>
      <x:c r="Q175" s="6"/>
    </x:row>
    <x:row r="176" ht="19" customHeight="1">
      <x:c r="A176" s="6"/>
      <x:c r="B176" s="6"/>
      <x:c r="C176" s="6"/>
      <x:c r="D176" s="6"/>
      <x:c r="E176" s="6"/>
      <x:c r="F176" s="6"/>
      <x:c r="G176" s="6"/>
      <x:c r="H176" s="6"/>
      <x:c r="I176" s="6"/>
      <x:c r="J176" s="6"/>
      <x:c r="K176" s="6"/>
      <x:c r="L176" s="6"/>
      <x:c r="M176" s="6"/>
      <x:c r="N176" s="6"/>
      <x:c r="O176" s="6"/>
      <x:c r="P176" s="6"/>
      <x:c r="Q176" s="6"/>
    </x:row>
    <x:row r="177" ht="19" customHeight="1">
      <x:c r="A177" s="6"/>
      <x:c r="B177" s="6"/>
      <x:c r="C177" s="6"/>
      <x:c r="D177" s="6"/>
      <x:c r="E177" s="6"/>
      <x:c r="F177" s="6"/>
      <x:c r="G177" s="6"/>
      <x:c r="H177" s="6"/>
      <x:c r="I177" s="6"/>
      <x:c r="J177" s="6"/>
      <x:c r="K177" s="6"/>
      <x:c r="L177" s="6"/>
      <x:c r="M177" s="6"/>
      <x:c r="N177" s="6"/>
      <x:c r="O177" s="6"/>
      <x:c r="P177" s="6"/>
      <x:c r="Q177" s="6"/>
    </x:row>
    <x:row r="178" ht="19" customHeight="1">
      <x:c r="A178" s="6"/>
      <x:c r="B178" s="6"/>
      <x:c r="C178" s="6"/>
      <x:c r="D178" s="6"/>
      <x:c r="E178" s="6"/>
      <x:c r="F178" s="6"/>
      <x:c r="G178" s="6"/>
      <x:c r="H178" s="6"/>
      <x:c r="I178" s="6"/>
      <x:c r="J178" s="6"/>
      <x:c r="K178" s="6"/>
      <x:c r="L178" s="6"/>
      <x:c r="M178" s="6"/>
      <x:c r="N178" s="6"/>
      <x:c r="O178" s="6"/>
      <x:c r="P178" s="6"/>
      <x:c r="Q178" s="6"/>
    </x:row>
    <x:row r="179" ht="19" customHeight="1">
      <x:c r="A179" s="6"/>
      <x:c r="B179" s="6"/>
      <x:c r="C179" s="6"/>
      <x:c r="D179" s="6"/>
      <x:c r="E179" s="6"/>
      <x:c r="F179" s="6"/>
      <x:c r="G179" s="6"/>
      <x:c r="H179" s="6"/>
      <x:c r="I179" s="6"/>
      <x:c r="J179" s="6"/>
      <x:c r="K179" s="6"/>
      <x:c r="L179" s="6"/>
      <x:c r="M179" s="6"/>
      <x:c r="N179" s="6"/>
      <x:c r="O179" s="6"/>
      <x:c r="P179" s="6"/>
      <x:c r="Q179" s="6"/>
    </x:row>
    <x:row r="180" ht="19" customHeight="1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  <x:c r="K180" s="6"/>
      <x:c r="L180" s="6"/>
      <x:c r="M180" s="6"/>
      <x:c r="N180" s="6"/>
      <x:c r="O180" s="6"/>
      <x:c r="P180" s="6"/>
      <x:c r="Q180" s="6"/>
    </x:row>
    <x:row r="181" ht="19" customHeight="1">
      <x:c r="A181" s="6"/>
      <x:c r="B181" s="6"/>
      <x:c r="C181" s="6"/>
      <x:c r="D181" s="6"/>
      <x:c r="E181" s="6"/>
      <x:c r="F181" s="6"/>
      <x:c r="G181" s="6"/>
      <x:c r="H181" s="6"/>
      <x:c r="I181" s="6"/>
      <x:c r="J181" s="6"/>
      <x:c r="K181" s="6"/>
      <x:c r="L181" s="6"/>
      <x:c r="M181" s="6"/>
      <x:c r="N181" s="6"/>
      <x:c r="O181" s="6"/>
      <x:c r="P181" s="6"/>
      <x:c r="Q181" s="6"/>
    </x:row>
    <x:row r="182" ht="19" customHeight="1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  <x:c r="K182" s="6"/>
      <x:c r="L182" s="6"/>
      <x:c r="M182" s="6"/>
      <x:c r="N182" s="6"/>
      <x:c r="O182" s="6"/>
      <x:c r="P182" s="6"/>
      <x:c r="Q182" s="6"/>
    </x:row>
    <x:row r="183" ht="19" customHeight="1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  <x:c r="M183" s="6"/>
      <x:c r="N183" s="6"/>
      <x:c r="O183" s="6"/>
      <x:c r="P183" s="6"/>
      <x:c r="Q183" s="6"/>
    </x:row>
    <x:row r="184" ht="19" customHeight="1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  <x:c r="K184" s="6"/>
      <x:c r="L184" s="6"/>
      <x:c r="M184" s="6"/>
      <x:c r="N184" s="6"/>
      <x:c r="O184" s="6"/>
      <x:c r="P184" s="6"/>
      <x:c r="Q184" s="6"/>
    </x:row>
    <x:row r="185" ht="19" customHeight="1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  <x:c r="M185" s="6"/>
      <x:c r="N185" s="6"/>
      <x:c r="O185" s="6"/>
      <x:c r="P185" s="6"/>
      <x:c r="Q185" s="6"/>
    </x:row>
    <x:row r="186" ht="19" customHeight="1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  <x:c r="K186" s="6"/>
      <x:c r="L186" s="6"/>
      <x:c r="M186" s="6"/>
      <x:c r="N186" s="6"/>
      <x:c r="O186" s="6"/>
      <x:c r="P186" s="6"/>
      <x:c r="Q186" s="6"/>
    </x:row>
    <x:row r="187" ht="19" customHeight="1">
      <x:c r="A187" s="6"/>
      <x:c r="B187" s="6"/>
      <x:c r="C187" s="6"/>
      <x:c r="D187" s="6"/>
      <x:c r="E187" s="6"/>
      <x:c r="F187" s="6"/>
      <x:c r="G187" s="6"/>
      <x:c r="H187" s="6"/>
      <x:c r="I187" s="6"/>
      <x:c r="J187" s="6"/>
      <x:c r="K187" s="6"/>
      <x:c r="L187" s="6"/>
      <x:c r="M187" s="6"/>
      <x:c r="N187" s="6"/>
      <x:c r="O187" s="6"/>
      <x:c r="P187" s="6"/>
      <x:c r="Q187" s="6"/>
    </x:row>
    <x:row r="188" ht="19" customHeight="1">
      <x:c r="A188" s="6"/>
      <x:c r="B188" s="6"/>
      <x:c r="C188" s="6"/>
      <x:c r="D188" s="6"/>
      <x:c r="E188" s="6"/>
      <x:c r="F188" s="6"/>
      <x:c r="G188" s="6"/>
      <x:c r="H188" s="6"/>
      <x:c r="I188" s="6"/>
      <x:c r="J188" s="6"/>
      <x:c r="K188" s="6"/>
      <x:c r="L188" s="6"/>
      <x:c r="M188" s="6"/>
      <x:c r="N188" s="6"/>
      <x:c r="O188" s="6"/>
      <x:c r="P188" s="6"/>
      <x:c r="Q188" s="6"/>
    </x:row>
    <x:row r="189" ht="19" customHeight="1">
      <x:c r="A189" s="6"/>
      <x:c r="B189" s="6"/>
      <x:c r="C189" s="6"/>
      <x:c r="D189" s="6"/>
      <x:c r="E189" s="6"/>
      <x:c r="F189" s="6"/>
      <x:c r="G189" s="6"/>
      <x:c r="H189" s="6"/>
      <x:c r="I189" s="6"/>
      <x:c r="J189" s="6"/>
      <x:c r="K189" s="6"/>
      <x:c r="L189" s="6"/>
      <x:c r="M189" s="6"/>
      <x:c r="N189" s="6"/>
      <x:c r="O189" s="6"/>
      <x:c r="P189" s="6"/>
      <x:c r="Q189" s="6"/>
    </x:row>
    <x:row r="190" ht="19" customHeight="1">
      <x:c r="A190" s="6"/>
      <x:c r="B190" s="6"/>
      <x:c r="C190" s="6"/>
      <x:c r="D190" s="6"/>
      <x:c r="E190" s="6"/>
      <x:c r="F190" s="6"/>
      <x:c r="G190" s="6"/>
      <x:c r="H190" s="6"/>
      <x:c r="I190" s="6"/>
      <x:c r="J190" s="6"/>
      <x:c r="K190" s="6"/>
      <x:c r="L190" s="6"/>
      <x:c r="M190" s="6"/>
      <x:c r="N190" s="6"/>
      <x:c r="O190" s="6"/>
      <x:c r="P190" s="6"/>
      <x:c r="Q190" s="6"/>
    </x:row>
    <x:row r="191" ht="19" customHeight="1">
      <x:c r="A191" s="6"/>
      <x:c r="B191" s="6"/>
      <x:c r="C191" s="6"/>
      <x:c r="D191" s="6"/>
      <x:c r="E191" s="6"/>
      <x:c r="F191" s="6"/>
      <x:c r="G191" s="6"/>
      <x:c r="H191" s="6"/>
      <x:c r="I191" s="6"/>
      <x:c r="J191" s="6"/>
      <x:c r="K191" s="6"/>
      <x:c r="L191" s="6"/>
      <x:c r="M191" s="6"/>
      <x:c r="N191" s="6"/>
      <x:c r="O191" s="6"/>
      <x:c r="P191" s="6"/>
      <x:c r="Q191" s="6"/>
    </x:row>
    <x:row r="192" ht="19" customHeight="1">
      <x:c r="A192" s="6"/>
      <x:c r="B192" s="6"/>
      <x:c r="C192" s="6"/>
      <x:c r="D192" s="6"/>
      <x:c r="E192" s="6"/>
      <x:c r="F192" s="6"/>
      <x:c r="G192" s="6"/>
      <x:c r="H192" s="6"/>
      <x:c r="I192" s="6"/>
      <x:c r="J192" s="6"/>
      <x:c r="K192" s="6"/>
      <x:c r="L192" s="6"/>
      <x:c r="M192" s="6"/>
      <x:c r="N192" s="6"/>
      <x:c r="O192" s="6"/>
      <x:c r="P192" s="6"/>
      <x:c r="Q192" s="6"/>
    </x:row>
    <x:row r="193" ht="19" customHeight="1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  <x:c r="M193" s="6"/>
      <x:c r="N193" s="6"/>
      <x:c r="O193" s="6"/>
      <x:c r="P193" s="6"/>
      <x:c r="Q193" s="6"/>
    </x:row>
    <x:row r="194" ht="19" customHeight="1">
      <x:c r="A194" s="6"/>
      <x:c r="B194" s="6"/>
      <x:c r="C194" s="6"/>
      <x:c r="D194" s="6"/>
      <x:c r="E194" s="6"/>
      <x:c r="F194" s="6"/>
      <x:c r="G194" s="6"/>
      <x:c r="H194" s="6"/>
      <x:c r="I194" s="6"/>
      <x:c r="J194" s="6"/>
      <x:c r="K194" s="6"/>
      <x:c r="L194" s="6"/>
      <x:c r="M194" s="6"/>
      <x:c r="N194" s="6"/>
      <x:c r="O194" s="6"/>
      <x:c r="P194" s="6"/>
      <x:c r="Q194" s="6"/>
    </x:row>
    <x:row r="195" ht="19" customHeight="1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  <x:c r="M195" s="6"/>
      <x:c r="N195" s="6"/>
      <x:c r="O195" s="6"/>
      <x:c r="P195" s="6"/>
      <x:c r="Q195" s="6"/>
    </x:row>
    <x:row r="196" ht="19" customHeight="1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  <x:c r="K196" s="6"/>
      <x:c r="L196" s="6"/>
      <x:c r="M196" s="6"/>
      <x:c r="N196" s="6"/>
      <x:c r="O196" s="6"/>
      <x:c r="P196" s="6"/>
      <x:c r="Q196" s="6"/>
    </x:row>
    <x:row r="197" ht="19" customHeight="1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  <x:c r="K197" s="6"/>
      <x:c r="L197" s="6"/>
      <x:c r="M197" s="6"/>
      <x:c r="N197" s="6"/>
      <x:c r="O197" s="6"/>
      <x:c r="P197" s="6"/>
      <x:c r="Q197" s="6"/>
    </x:row>
    <x:row r="198" ht="19" customHeight="1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  <x:c r="K198" s="6"/>
      <x:c r="L198" s="6"/>
      <x:c r="M198" s="6"/>
      <x:c r="N198" s="6"/>
      <x:c r="O198" s="6"/>
      <x:c r="P198" s="6"/>
      <x:c r="Q198" s="6"/>
    </x:row>
    <x:row r="199" ht="19" customHeight="1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  <x:c r="K199" s="6"/>
      <x:c r="L199" s="6"/>
      <x:c r="M199" s="6"/>
      <x:c r="N199" s="6"/>
      <x:c r="O199" s="6"/>
      <x:c r="P199" s="6"/>
      <x:c r="Q199" s="6"/>
    </x:row>
    <x:row r="200" ht="19" customHeight="1">
      <x:c r="A200" s="6"/>
      <x:c r="B200" s="6"/>
      <x:c r="C200" s="6"/>
      <x:c r="D200" s="6"/>
      <x:c r="E200" s="6"/>
      <x:c r="F200" s="6"/>
      <x:c r="G200" s="6"/>
      <x:c r="H200" s="6"/>
      <x:c r="I200" s="6"/>
      <x:c r="J200" s="6"/>
      <x:c r="K200" s="6"/>
      <x:c r="L200" s="6"/>
      <x:c r="M200" s="6"/>
      <x:c r="N200" s="6"/>
      <x:c r="O200" s="6"/>
      <x:c r="P200" s="6"/>
      <x:c r="Q200" s="6"/>
    </x:row>
    <x:row r="201" ht="19" customHeight="1">
      <x:c r="A201" s="6"/>
      <x:c r="B201" s="6"/>
      <x:c r="C201" s="6"/>
      <x:c r="D201" s="6"/>
      <x:c r="E201" s="6"/>
      <x:c r="F201" s="6"/>
      <x:c r="G201" s="6"/>
      <x:c r="H201" s="6"/>
      <x:c r="I201" s="6"/>
      <x:c r="J201" s="6"/>
      <x:c r="K201" s="6"/>
      <x:c r="L201" s="6"/>
      <x:c r="M201" s="6"/>
      <x:c r="N201" s="6"/>
      <x:c r="O201" s="6"/>
      <x:c r="P201" s="6"/>
      <x:c r="Q201" s="6"/>
    </x:row>
    <x:row r="202" ht="19" customHeight="1">
      <x:c r="A202" s="6"/>
      <x:c r="B202" s="6"/>
      <x:c r="C202" s="6"/>
      <x:c r="D202" s="6"/>
      <x:c r="E202" s="6"/>
      <x:c r="F202" s="6"/>
      <x:c r="G202" s="6"/>
      <x:c r="H202" s="6"/>
      <x:c r="I202" s="6"/>
      <x:c r="J202" s="6"/>
      <x:c r="K202" s="6"/>
      <x:c r="L202" s="6"/>
      <x:c r="M202" s="6"/>
      <x:c r="N202" s="6"/>
      <x:c r="O202" s="6"/>
      <x:c r="P202" s="6"/>
      <x:c r="Q202" s="6"/>
    </x:row>
    <x:row r="203" ht="19" customHeight="1">
      <x:c r="A203" s="6"/>
      <x:c r="B203" s="6"/>
      <x:c r="C203" s="6"/>
      <x:c r="D203" s="6"/>
      <x:c r="E203" s="6"/>
      <x:c r="F203" s="6"/>
      <x:c r="G203" s="6"/>
      <x:c r="H203" s="6"/>
      <x:c r="I203" s="6"/>
      <x:c r="J203" s="6"/>
      <x:c r="K203" s="6"/>
      <x:c r="L203" s="6"/>
      <x:c r="M203" s="6"/>
      <x:c r="N203" s="6"/>
      <x:c r="O203" s="6"/>
      <x:c r="P203" s="6"/>
      <x:c r="Q203" s="6"/>
    </x:row>
    <x:row r="204" ht="19" customHeight="1">
      <x:c r="A204" s="6"/>
      <x:c r="B204" s="6"/>
      <x:c r="C204" s="6"/>
      <x:c r="D204" s="6"/>
      <x:c r="E204" s="6"/>
      <x:c r="F204" s="6"/>
      <x:c r="G204" s="6"/>
      <x:c r="H204" s="6"/>
      <x:c r="I204" s="6"/>
      <x:c r="J204" s="6"/>
      <x:c r="K204" s="6"/>
      <x:c r="L204" s="6"/>
      <x:c r="M204" s="6"/>
      <x:c r="N204" s="6"/>
      <x:c r="O204" s="6"/>
      <x:c r="P204" s="6"/>
      <x:c r="Q204" s="6"/>
    </x:row>
    <x:row r="205" ht="19" customHeight="1">
      <x:c r="A205" s="6"/>
      <x:c r="B205" s="6"/>
      <x:c r="C205" s="6"/>
      <x:c r="D205" s="6"/>
      <x:c r="E205" s="6"/>
      <x:c r="F205" s="6"/>
      <x:c r="G205" s="6"/>
      <x:c r="H205" s="6"/>
      <x:c r="I205" s="6"/>
      <x:c r="J205" s="6"/>
      <x:c r="K205" s="6"/>
      <x:c r="L205" s="6"/>
      <x:c r="M205" s="6"/>
      <x:c r="N205" s="6"/>
      <x:c r="O205" s="6"/>
      <x:c r="P205" s="6"/>
      <x:c r="Q205" s="6"/>
    </x:row>
    <x:row r="206" ht="19" customHeight="1">
      <x:c r="A206" s="6"/>
      <x:c r="B206" s="6"/>
      <x:c r="C206" s="6"/>
      <x:c r="D206" s="6"/>
      <x:c r="E206" s="6"/>
      <x:c r="F206" s="6"/>
      <x:c r="G206" s="6"/>
      <x:c r="H206" s="6"/>
      <x:c r="I206" s="6"/>
      <x:c r="J206" s="6"/>
      <x:c r="K206" s="6"/>
      <x:c r="L206" s="6"/>
      <x:c r="M206" s="6"/>
      <x:c r="N206" s="6"/>
      <x:c r="O206" s="6"/>
      <x:c r="P206" s="6"/>
      <x:c r="Q206" s="6"/>
    </x:row>
    <x:row r="207" ht="19" customHeight="1">
      <x:c r="A207" s="6"/>
      <x:c r="B207" s="6"/>
      <x:c r="C207" s="6"/>
      <x:c r="D207" s="6"/>
      <x:c r="E207" s="6"/>
      <x:c r="F207" s="6"/>
      <x:c r="G207" s="6"/>
      <x:c r="H207" s="6"/>
      <x:c r="I207" s="6"/>
      <x:c r="J207" s="6"/>
      <x:c r="K207" s="6"/>
      <x:c r="L207" s="6"/>
      <x:c r="M207" s="6"/>
      <x:c r="N207" s="6"/>
      <x:c r="O207" s="6"/>
      <x:c r="P207" s="6"/>
      <x:c r="Q207" s="6"/>
    </x:row>
    <x:row r="208" ht="19" customHeight="1">
      <x:c r="A208" s="6"/>
      <x:c r="B208" s="6"/>
      <x:c r="C208" s="6"/>
      <x:c r="D208" s="6"/>
      <x:c r="E208" s="6"/>
      <x:c r="F208" s="6"/>
      <x:c r="G208" s="6"/>
      <x:c r="H208" s="6"/>
      <x:c r="I208" s="6"/>
      <x:c r="J208" s="6"/>
      <x:c r="K208" s="6"/>
      <x:c r="L208" s="6"/>
      <x:c r="M208" s="6"/>
      <x:c r="N208" s="6"/>
      <x:c r="O208" s="6"/>
      <x:c r="P208" s="6"/>
      <x:c r="Q208" s="6"/>
    </x:row>
    <x:row r="209" ht="19" customHeight="1">
      <x:c r="A209" s="6"/>
      <x:c r="B209" s="6"/>
      <x:c r="C209" s="6"/>
      <x:c r="D209" s="6"/>
      <x:c r="E209" s="6"/>
      <x:c r="F209" s="6"/>
      <x:c r="G209" s="6"/>
      <x:c r="H209" s="6"/>
      <x:c r="I209" s="6"/>
      <x:c r="J209" s="6"/>
      <x:c r="K209" s="6"/>
      <x:c r="L209" s="6"/>
      <x:c r="M209" s="6"/>
      <x:c r="N209" s="6"/>
      <x:c r="O209" s="6"/>
      <x:c r="P209" s="6"/>
      <x:c r="Q209" s="6"/>
    </x:row>
    <x:row r="210" ht="19" customHeight="1">
      <x:c r="A210" s="6"/>
      <x:c r="B210" s="6"/>
      <x:c r="C210" s="6"/>
      <x:c r="D210" s="6"/>
      <x:c r="E210" s="6"/>
      <x:c r="F210" s="6"/>
      <x:c r="G210" s="6"/>
      <x:c r="H210" s="6"/>
      <x:c r="I210" s="6"/>
      <x:c r="J210" s="6"/>
      <x:c r="K210" s="6"/>
      <x:c r="L210" s="6"/>
      <x:c r="M210" s="6"/>
      <x:c r="N210" s="6"/>
      <x:c r="O210" s="6"/>
      <x:c r="P210" s="6"/>
      <x:c r="Q210" s="6"/>
    </x:row>
    <x:row r="211" ht="19" customHeight="1">
      <x:c r="A211" s="6"/>
      <x:c r="B211" s="6"/>
      <x:c r="C211" s="6"/>
      <x:c r="D211" s="6"/>
      <x:c r="E211" s="6"/>
      <x:c r="F211" s="6"/>
      <x:c r="G211" s="6"/>
      <x:c r="H211" s="6"/>
      <x:c r="I211" s="6"/>
      <x:c r="J211" s="6"/>
      <x:c r="K211" s="6"/>
      <x:c r="L211" s="6"/>
      <x:c r="M211" s="6"/>
      <x:c r="N211" s="6"/>
      <x:c r="O211" s="6"/>
      <x:c r="P211" s="6"/>
      <x:c r="Q211" s="6"/>
    </x:row>
    <x:row r="212" ht="19" customHeight="1">
      <x:c r="A212" s="6"/>
      <x:c r="B212" s="6"/>
      <x:c r="C212" s="6"/>
      <x:c r="D212" s="6"/>
      <x:c r="E212" s="6"/>
      <x:c r="F212" s="6"/>
      <x:c r="G212" s="6"/>
      <x:c r="H212" s="6"/>
      <x:c r="I212" s="6"/>
      <x:c r="J212" s="6"/>
      <x:c r="K212" s="6"/>
      <x:c r="L212" s="6"/>
      <x:c r="M212" s="6"/>
      <x:c r="N212" s="6"/>
      <x:c r="O212" s="6"/>
      <x:c r="P212" s="6"/>
      <x:c r="Q212" s="6"/>
    </x:row>
    <x:row r="213" ht="19" customHeight="1">
      <x:c r="A213" s="6"/>
      <x:c r="B213" s="6"/>
      <x:c r="C213" s="6"/>
      <x:c r="D213" s="6"/>
      <x:c r="E213" s="6"/>
      <x:c r="F213" s="6"/>
      <x:c r="G213" s="6"/>
      <x:c r="H213" s="6"/>
      <x:c r="I213" s="6"/>
      <x:c r="J213" s="6"/>
      <x:c r="K213" s="6"/>
      <x:c r="L213" s="6"/>
      <x:c r="M213" s="6"/>
      <x:c r="N213" s="6"/>
      <x:c r="O213" s="6"/>
      <x:c r="P213" s="6"/>
      <x:c r="Q213" s="6"/>
    </x:row>
    <x:row r="214" ht="19" customHeight="1">
      <x:c r="A214" s="6"/>
      <x:c r="B214" s="6"/>
      <x:c r="C214" s="6"/>
      <x:c r="D214" s="6"/>
      <x:c r="E214" s="6"/>
      <x:c r="F214" s="6"/>
      <x:c r="G214" s="6"/>
      <x:c r="H214" s="6"/>
      <x:c r="I214" s="6"/>
      <x:c r="J214" s="6"/>
      <x:c r="K214" s="6"/>
      <x:c r="L214" s="6"/>
      <x:c r="M214" s="6"/>
      <x:c r="N214" s="6"/>
      <x:c r="O214" s="6"/>
      <x:c r="P214" s="6"/>
      <x:c r="Q214" s="6"/>
    </x:row>
    <x:row r="215" ht="19" customHeight="1">
      <x:c r="A215" s="6"/>
      <x:c r="B215" s="6"/>
      <x:c r="C215" s="6"/>
      <x:c r="D215" s="6"/>
      <x:c r="E215" s="6"/>
      <x:c r="F215" s="6"/>
      <x:c r="G215" s="6"/>
      <x:c r="H215" s="6"/>
      <x:c r="I215" s="6"/>
      <x:c r="J215" s="6"/>
      <x:c r="K215" s="6"/>
      <x:c r="L215" s="6"/>
      <x:c r="M215" s="6"/>
      <x:c r="N215" s="6"/>
      <x:c r="O215" s="6"/>
      <x:c r="P215" s="6"/>
      <x:c r="Q215" s="6"/>
    </x:row>
    <x:row r="216" ht="19" customHeight="1">
      <x:c r="A216" s="6"/>
      <x:c r="B216" s="6"/>
      <x:c r="C216" s="6"/>
      <x:c r="D216" s="6"/>
      <x:c r="E216" s="6"/>
      <x:c r="F216" s="6"/>
      <x:c r="G216" s="6"/>
      <x:c r="H216" s="6"/>
      <x:c r="I216" s="6"/>
      <x:c r="J216" s="6"/>
      <x:c r="K216" s="6"/>
      <x:c r="L216" s="6"/>
      <x:c r="M216" s="6"/>
      <x:c r="N216" s="6"/>
      <x:c r="O216" s="6"/>
      <x:c r="P216" s="6"/>
      <x:c r="Q216" s="6"/>
    </x:row>
    <x:row r="217" ht="19" customHeight="1">
      <x:c r="A217" s="6"/>
      <x:c r="B217" s="6"/>
      <x:c r="C217" s="6"/>
      <x:c r="D217" s="6"/>
      <x:c r="E217" s="6"/>
      <x:c r="F217" s="6"/>
      <x:c r="G217" s="6"/>
      <x:c r="H217" s="6"/>
      <x:c r="I217" s="6"/>
      <x:c r="J217" s="6"/>
      <x:c r="K217" s="6"/>
      <x:c r="L217" s="6"/>
      <x:c r="M217" s="6"/>
      <x:c r="N217" s="6"/>
      <x:c r="O217" s="6"/>
      <x:c r="P217" s="6"/>
      <x:c r="Q217" s="6"/>
    </x:row>
    <x:row r="218" ht="19" customHeight="1">
      <x:c r="A218" s="6"/>
      <x:c r="B218" s="6"/>
      <x:c r="C218" s="6"/>
      <x:c r="D218" s="6"/>
      <x:c r="E218" s="6"/>
      <x:c r="F218" s="6"/>
      <x:c r="G218" s="6"/>
      <x:c r="H218" s="6"/>
      <x:c r="I218" s="6"/>
      <x:c r="J218" s="6"/>
      <x:c r="K218" s="6"/>
      <x:c r="L218" s="6"/>
      <x:c r="M218" s="6"/>
      <x:c r="N218" s="6"/>
      <x:c r="O218" s="6"/>
      <x:c r="P218" s="6"/>
      <x:c r="Q218" s="6"/>
    </x:row>
    <x:row r="219" ht="19" customHeight="1">
      <x:c r="A219" s="6"/>
      <x:c r="B219" s="6"/>
      <x:c r="C219" s="6"/>
      <x:c r="D219" s="6"/>
      <x:c r="E219" s="6"/>
      <x:c r="F219" s="6"/>
      <x:c r="G219" s="6"/>
      <x:c r="H219" s="6"/>
      <x:c r="I219" s="6"/>
      <x:c r="J219" s="6"/>
      <x:c r="K219" s="6"/>
      <x:c r="L219" s="6"/>
      <x:c r="M219" s="6"/>
      <x:c r="N219" s="6"/>
      <x:c r="O219" s="6"/>
      <x:c r="P219" s="6"/>
      <x:c r="Q219" s="6"/>
    </x:row>
    <x:row r="220" ht="19" customHeight="1">
      <x:c r="A220" s="6"/>
      <x:c r="B220" s="6"/>
      <x:c r="C220" s="6"/>
      <x:c r="D220" s="6"/>
      <x:c r="E220" s="6"/>
      <x:c r="F220" s="6"/>
      <x:c r="G220" s="6"/>
      <x:c r="H220" s="6"/>
      <x:c r="I220" s="6"/>
      <x:c r="J220" s="6"/>
      <x:c r="K220" s="6"/>
      <x:c r="L220" s="6"/>
      <x:c r="M220" s="6"/>
      <x:c r="N220" s="6"/>
      <x:c r="O220" s="6"/>
      <x:c r="P220" s="6"/>
      <x:c r="Q220" s="6"/>
    </x:row>
    <x:row r="221" ht="19" customHeight="1">
      <x:c r="A221" s="6"/>
      <x:c r="B221" s="6"/>
      <x:c r="C221" s="6"/>
      <x:c r="D221" s="6"/>
      <x:c r="E221" s="6"/>
      <x:c r="F221" s="6"/>
      <x:c r="G221" s="6"/>
      <x:c r="H221" s="6"/>
      <x:c r="I221" s="6"/>
      <x:c r="J221" s="6"/>
      <x:c r="K221" s="6"/>
      <x:c r="L221" s="6"/>
      <x:c r="M221" s="6"/>
      <x:c r="N221" s="6"/>
      <x:c r="O221" s="6"/>
      <x:c r="P221" s="6"/>
      <x:c r="Q221" s="6"/>
    </x:row>
    <x:row r="222" ht="19" customHeight="1">
      <x:c r="A222" s="6"/>
      <x:c r="B222" s="6"/>
      <x:c r="C222" s="6"/>
      <x:c r="D222" s="6"/>
      <x:c r="E222" s="6"/>
      <x:c r="F222" s="6"/>
      <x:c r="G222" s="6"/>
      <x:c r="H222" s="6"/>
      <x:c r="I222" s="6"/>
      <x:c r="J222" s="6"/>
      <x:c r="K222" s="6"/>
      <x:c r="L222" s="6"/>
      <x:c r="M222" s="6"/>
      <x:c r="N222" s="6"/>
      <x:c r="O222" s="6"/>
      <x:c r="P222" s="6"/>
      <x:c r="Q222" s="6"/>
    </x:row>
    <x:row r="223" ht="19" customHeight="1">
      <x:c r="A223" s="6"/>
      <x:c r="B223" s="6"/>
      <x:c r="C223" s="6"/>
      <x:c r="D223" s="6"/>
      <x:c r="E223" s="6"/>
      <x:c r="F223" s="6"/>
      <x:c r="G223" s="6"/>
      <x:c r="H223" s="6"/>
      <x:c r="I223" s="6"/>
      <x:c r="J223" s="6"/>
      <x:c r="K223" s="6"/>
      <x:c r="L223" s="6"/>
      <x:c r="M223" s="6"/>
      <x:c r="N223" s="6"/>
      <x:c r="O223" s="6"/>
      <x:c r="P223" s="6"/>
      <x:c r="Q223" s="6"/>
    </x:row>
    <x:row r="224" ht="19" customHeight="1">
      <x:c r="A224" s="6"/>
      <x:c r="B224" s="6"/>
      <x:c r="C224" s="6"/>
      <x:c r="D224" s="6"/>
      <x:c r="E224" s="6"/>
      <x:c r="F224" s="6"/>
      <x:c r="G224" s="6"/>
      <x:c r="H224" s="6"/>
      <x:c r="I224" s="6"/>
      <x:c r="J224" s="6"/>
      <x:c r="K224" s="6"/>
      <x:c r="L224" s="6"/>
      <x:c r="M224" s="6"/>
      <x:c r="N224" s="6"/>
      <x:c r="O224" s="6"/>
      <x:c r="P224" s="6"/>
      <x:c r="Q224" s="6"/>
    </x:row>
    <x:row r="225" ht="19" customHeight="1">
      <x:c r="A225" s="6"/>
      <x:c r="B225" s="6"/>
      <x:c r="C225" s="6"/>
      <x:c r="D225" s="6"/>
      <x:c r="E225" s="6"/>
      <x:c r="F225" s="6"/>
      <x:c r="G225" s="6"/>
      <x:c r="H225" s="6"/>
      <x:c r="I225" s="6"/>
      <x:c r="J225" s="6"/>
      <x:c r="K225" s="6"/>
      <x:c r="L225" s="6"/>
      <x:c r="M225" s="6"/>
      <x:c r="N225" s="6"/>
      <x:c r="O225" s="6"/>
      <x:c r="P225" s="6"/>
      <x:c r="Q225" s="6"/>
    </x:row>
    <x:row r="226" ht="19" customHeight="1">
      <x:c r="A226" s="6"/>
      <x:c r="B226" s="6"/>
      <x:c r="C226" s="6"/>
      <x:c r="D226" s="6"/>
      <x:c r="E226" s="6"/>
      <x:c r="F226" s="6"/>
      <x:c r="G226" s="6"/>
      <x:c r="H226" s="6"/>
      <x:c r="I226" s="6"/>
      <x:c r="J226" s="6"/>
      <x:c r="K226" s="6"/>
      <x:c r="L226" s="6"/>
      <x:c r="M226" s="6"/>
      <x:c r="N226" s="6"/>
      <x:c r="O226" s="6"/>
      <x:c r="P226" s="6"/>
      <x:c r="Q226" s="6"/>
    </x:row>
    <x:row r="227" ht="19" customHeight="1">
      <x:c r="A227" s="6"/>
      <x:c r="B227" s="6"/>
      <x:c r="C227" s="6"/>
      <x:c r="D227" s="6"/>
      <x:c r="E227" s="6"/>
      <x:c r="F227" s="6"/>
      <x:c r="G227" s="6"/>
      <x:c r="H227" s="6"/>
      <x:c r="I227" s="6"/>
      <x:c r="J227" s="6"/>
      <x:c r="K227" s="6"/>
      <x:c r="L227" s="6"/>
      <x:c r="M227" s="6"/>
      <x:c r="N227" s="6"/>
      <x:c r="O227" s="6"/>
      <x:c r="P227" s="6"/>
      <x:c r="Q227" s="6"/>
    </x:row>
    <x:row r="228" ht="19" customHeight="1">
      <x:c r="A228" s="6"/>
      <x:c r="B228" s="6"/>
      <x:c r="C228" s="6"/>
      <x:c r="D228" s="6"/>
      <x:c r="E228" s="6"/>
      <x:c r="F228" s="6"/>
      <x:c r="G228" s="6"/>
      <x:c r="H228" s="6"/>
      <x:c r="I228" s="6"/>
      <x:c r="J228" s="6"/>
      <x:c r="K228" s="6"/>
      <x:c r="L228" s="6"/>
      <x:c r="M228" s="6"/>
      <x:c r="N228" s="6"/>
      <x:c r="O228" s="6"/>
      <x:c r="P228" s="6"/>
      <x:c r="Q228" s="6"/>
    </x:row>
    <x:row r="229" ht="19" customHeight="1">
      <x:c r="A229" s="6"/>
      <x:c r="B229" s="6"/>
      <x:c r="C229" s="6"/>
      <x:c r="D229" s="6"/>
      <x:c r="E229" s="6"/>
      <x:c r="F229" s="6"/>
      <x:c r="G229" s="6"/>
      <x:c r="H229" s="6"/>
      <x:c r="I229" s="6"/>
      <x:c r="J229" s="6"/>
      <x:c r="K229" s="6"/>
      <x:c r="L229" s="6"/>
      <x:c r="M229" s="6"/>
      <x:c r="N229" s="6"/>
      <x:c r="O229" s="6"/>
      <x:c r="P229" s="6"/>
      <x:c r="Q229" s="6"/>
    </x:row>
    <x:row r="230" ht="19" customHeight="1">
      <x:c r="A230" s="6"/>
      <x:c r="B230" s="6"/>
      <x:c r="C230" s="6"/>
      <x:c r="D230" s="6"/>
      <x:c r="E230" s="6"/>
      <x:c r="F230" s="6"/>
      <x:c r="G230" s="6"/>
      <x:c r="H230" s="6"/>
      <x:c r="I230" s="6"/>
      <x:c r="J230" s="6"/>
      <x:c r="K230" s="6"/>
      <x:c r="L230" s="6"/>
      <x:c r="M230" s="6"/>
      <x:c r="N230" s="6"/>
      <x:c r="O230" s="6"/>
      <x:c r="P230" s="6"/>
      <x:c r="Q230" s="6"/>
    </x:row>
    <x:row r="231" ht="19" customHeight="1">
      <x:c r="A231" s="6"/>
      <x:c r="B231" s="6"/>
      <x:c r="C231" s="6"/>
      <x:c r="D231" s="6"/>
      <x:c r="E231" s="6"/>
      <x:c r="F231" s="6"/>
      <x:c r="G231" s="6"/>
      <x:c r="H231" s="6"/>
      <x:c r="I231" s="6"/>
      <x:c r="J231" s="6"/>
      <x:c r="K231" s="6"/>
      <x:c r="L231" s="6"/>
      <x:c r="M231" s="6"/>
      <x:c r="N231" s="6"/>
      <x:c r="O231" s="6"/>
      <x:c r="P231" s="6"/>
      <x:c r="Q231" s="6"/>
    </x:row>
    <x:row r="232" ht="19" customHeight="1">
      <x:c r="A232" s="6"/>
      <x:c r="B232" s="6"/>
      <x:c r="C232" s="6"/>
      <x:c r="D232" s="6"/>
      <x:c r="E232" s="6"/>
      <x:c r="F232" s="6"/>
      <x:c r="G232" s="6"/>
      <x:c r="H232" s="6"/>
      <x:c r="I232" s="6"/>
      <x:c r="J232" s="6"/>
      <x:c r="K232" s="6"/>
      <x:c r="L232" s="6"/>
      <x:c r="M232" s="6"/>
      <x:c r="N232" s="6"/>
      <x:c r="O232" s="6"/>
      <x:c r="P232" s="6"/>
      <x:c r="Q232" s="6"/>
    </x:row>
    <x:row r="233" ht="19" customHeight="1">
      <x:c r="A233" s="6"/>
      <x:c r="B233" s="6"/>
      <x:c r="C233" s="6"/>
      <x:c r="D233" s="6"/>
      <x:c r="E233" s="6"/>
      <x:c r="F233" s="6"/>
      <x:c r="G233" s="6"/>
      <x:c r="H233" s="6"/>
      <x:c r="I233" s="6"/>
      <x:c r="J233" s="6"/>
      <x:c r="K233" s="6"/>
      <x:c r="L233" s="6"/>
      <x:c r="M233" s="6"/>
      <x:c r="N233" s="6"/>
      <x:c r="O233" s="6"/>
      <x:c r="P233" s="6"/>
      <x:c r="Q233" s="6"/>
    </x:row>
    <x:row r="234" ht="19" customHeight="1">
      <x:c r="A234" s="6"/>
      <x:c r="B234" s="6"/>
      <x:c r="C234" s="6"/>
      <x:c r="D234" s="6"/>
      <x:c r="E234" s="6"/>
      <x:c r="F234" s="6"/>
      <x:c r="G234" s="6"/>
      <x:c r="H234" s="6"/>
      <x:c r="I234" s="6"/>
      <x:c r="J234" s="6"/>
      <x:c r="K234" s="6"/>
      <x:c r="L234" s="6"/>
      <x:c r="M234" s="6"/>
      <x:c r="N234" s="6"/>
      <x:c r="O234" s="6"/>
      <x:c r="P234" s="6"/>
      <x:c r="Q234" s="6"/>
    </x:row>
    <x:row r="235" ht="19" customHeight="1">
      <x:c r="A235" s="6"/>
      <x:c r="B235" s="6"/>
      <x:c r="C235" s="6"/>
      <x:c r="D235" s="6"/>
      <x:c r="E235" s="6"/>
      <x:c r="F235" s="6"/>
      <x:c r="G235" s="6"/>
      <x:c r="H235" s="6"/>
      <x:c r="I235" s="6"/>
      <x:c r="J235" s="6"/>
      <x:c r="K235" s="6"/>
      <x:c r="L235" s="6"/>
      <x:c r="M235" s="6"/>
      <x:c r="N235" s="6"/>
      <x:c r="O235" s="6"/>
      <x:c r="P235" s="6"/>
      <x:c r="Q235" s="6"/>
    </x:row>
    <x:row r="236" ht="19" customHeight="1">
      <x:c r="A236" s="6"/>
      <x:c r="B236" s="6"/>
      <x:c r="C236" s="6"/>
      <x:c r="D236" s="6"/>
      <x:c r="E236" s="6"/>
      <x:c r="F236" s="6"/>
      <x:c r="G236" s="6"/>
      <x:c r="H236" s="6"/>
      <x:c r="I236" s="6"/>
      <x:c r="J236" s="6"/>
      <x:c r="K236" s="6"/>
      <x:c r="L236" s="6"/>
      <x:c r="M236" s="6"/>
      <x:c r="N236" s="6"/>
      <x:c r="O236" s="6"/>
      <x:c r="P236" s="6"/>
      <x:c r="Q236" s="6"/>
    </x:row>
    <x:row r="237" ht="19" customHeight="1">
      <x:c r="A237" s="6"/>
      <x:c r="B237" s="6"/>
      <x:c r="C237" s="6"/>
      <x:c r="D237" s="6"/>
      <x:c r="E237" s="6"/>
      <x:c r="F237" s="6"/>
      <x:c r="G237" s="6"/>
      <x:c r="H237" s="6"/>
      <x:c r="I237" s="6"/>
      <x:c r="J237" s="6"/>
      <x:c r="K237" s="6"/>
      <x:c r="L237" s="6"/>
      <x:c r="M237" s="6"/>
      <x:c r="N237" s="6"/>
      <x:c r="O237" s="6"/>
      <x:c r="P237" s="6"/>
      <x:c r="Q237" s="6"/>
    </x:row>
    <x:row r="238" ht="19" customHeight="1">
      <x:c r="A238" s="6"/>
      <x:c r="B238" s="6"/>
      <x:c r="C238" s="6"/>
      <x:c r="D238" s="6"/>
      <x:c r="E238" s="6"/>
      <x:c r="F238" s="6"/>
      <x:c r="G238" s="6"/>
      <x:c r="H238" s="6"/>
      <x:c r="I238" s="6"/>
      <x:c r="J238" s="6"/>
      <x:c r="K238" s="6"/>
      <x:c r="L238" s="6"/>
      <x:c r="M238" s="6"/>
      <x:c r="N238" s="6"/>
      <x:c r="O238" s="6"/>
      <x:c r="P238" s="6"/>
      <x:c r="Q238" s="6"/>
    </x:row>
    <x:row r="239" ht="19" customHeight="1">
      <x:c r="A239" s="6"/>
      <x:c r="B239" s="6"/>
      <x:c r="C239" s="6"/>
      <x:c r="D239" s="6"/>
      <x:c r="E239" s="6"/>
      <x:c r="F239" s="6"/>
      <x:c r="G239" s="6"/>
      <x:c r="H239" s="6"/>
      <x:c r="I239" s="6"/>
      <x:c r="J239" s="6"/>
      <x:c r="K239" s="6"/>
      <x:c r="L239" s="6"/>
      <x:c r="M239" s="6"/>
      <x:c r="N239" s="6"/>
      <x:c r="O239" s="6"/>
      <x:c r="P239" s="6"/>
      <x:c r="Q239" s="6"/>
    </x:row>
    <x:row r="240" ht="19" customHeight="1">
      <x:c r="A240" s="6"/>
      <x:c r="B240" s="6"/>
      <x:c r="C240" s="6"/>
      <x:c r="D240" s="6"/>
      <x:c r="E240" s="6"/>
      <x:c r="F240" s="6"/>
      <x:c r="G240" s="6"/>
      <x:c r="H240" s="6"/>
      <x:c r="I240" s="6"/>
      <x:c r="J240" s="6"/>
      <x:c r="K240" s="6"/>
      <x:c r="L240" s="6"/>
      <x:c r="M240" s="6"/>
      <x:c r="N240" s="6"/>
      <x:c r="O240" s="6"/>
      <x:c r="P240" s="6"/>
      <x:c r="Q240" s="6"/>
    </x:row>
    <x:row r="241" ht="19" customHeight="1">
      <x:c r="A241" s="6"/>
      <x:c r="B241" s="6"/>
      <x:c r="C241" s="6"/>
      <x:c r="D241" s="6"/>
      <x:c r="E241" s="6"/>
      <x:c r="F241" s="6"/>
      <x:c r="G241" s="6"/>
      <x:c r="H241" s="6"/>
      <x:c r="I241" s="6"/>
      <x:c r="J241" s="6"/>
      <x:c r="K241" s="6"/>
      <x:c r="L241" s="6"/>
      <x:c r="M241" s="6"/>
      <x:c r="N241" s="6"/>
      <x:c r="O241" s="6"/>
      <x:c r="P241" s="6"/>
      <x:c r="Q241" s="6"/>
    </x:row>
    <x:row r="242" ht="19" customHeight="1">
      <x:c r="A242" s="6"/>
      <x:c r="B242" s="6"/>
      <x:c r="C242" s="6"/>
      <x:c r="D242" s="6"/>
      <x:c r="E242" s="6"/>
      <x:c r="F242" s="6"/>
      <x:c r="G242" s="6"/>
      <x:c r="H242" s="6"/>
      <x:c r="I242" s="6"/>
      <x:c r="J242" s="6"/>
      <x:c r="K242" s="6"/>
      <x:c r="L242" s="6"/>
      <x:c r="M242" s="6"/>
      <x:c r="N242" s="6"/>
      <x:c r="O242" s="6"/>
      <x:c r="P242" s="6"/>
      <x:c r="Q242" s="6"/>
    </x:row>
    <x:row r="243" ht="19" customHeight="1">
      <x:c r="A243" s="6"/>
      <x:c r="B243" s="6"/>
      <x:c r="C243" s="6"/>
      <x:c r="D243" s="6"/>
      <x:c r="E243" s="6"/>
      <x:c r="F243" s="6"/>
      <x:c r="G243" s="6"/>
      <x:c r="H243" s="6"/>
      <x:c r="I243" s="6"/>
      <x:c r="J243" s="6"/>
      <x:c r="K243" s="6"/>
      <x:c r="L243" s="6"/>
      <x:c r="M243" s="6"/>
      <x:c r="N243" s="6"/>
      <x:c r="O243" s="6"/>
      <x:c r="P243" s="6"/>
      <x:c r="Q243" s="6"/>
    </x:row>
    <x:row r="244" ht="19" customHeight="1">
      <x:c r="A244" s="6"/>
      <x:c r="B244" s="6"/>
      <x:c r="C244" s="6"/>
      <x:c r="D244" s="6"/>
      <x:c r="E244" s="6"/>
      <x:c r="F244" s="6"/>
      <x:c r="G244" s="6"/>
      <x:c r="H244" s="6"/>
      <x:c r="I244" s="6"/>
      <x:c r="J244" s="6"/>
      <x:c r="K244" s="6"/>
      <x:c r="L244" s="6"/>
      <x:c r="M244" s="6"/>
      <x:c r="N244" s="6"/>
      <x:c r="O244" s="6"/>
      <x:c r="P244" s="6"/>
      <x:c r="Q244" s="6"/>
    </x:row>
    <x:row r="245" ht="19" customHeight="1">
      <x:c r="A245" s="6"/>
      <x:c r="B245" s="6"/>
      <x:c r="C245" s="6"/>
      <x:c r="D245" s="6"/>
      <x:c r="E245" s="6"/>
      <x:c r="F245" s="6"/>
      <x:c r="G245" s="6"/>
      <x:c r="H245" s="6"/>
      <x:c r="I245" s="6"/>
      <x:c r="J245" s="6"/>
      <x:c r="K245" s="6"/>
      <x:c r="L245" s="6"/>
      <x:c r="M245" s="6"/>
      <x:c r="N245" s="6"/>
      <x:c r="O245" s="6"/>
      <x:c r="P245" s="6"/>
      <x:c r="Q245" s="6"/>
    </x:row>
    <x:row r="246" ht="19" customHeight="1">
      <x:c r="A246" s="6"/>
      <x:c r="B246" s="6"/>
      <x:c r="C246" s="6"/>
      <x:c r="D246" s="6"/>
      <x:c r="E246" s="6"/>
      <x:c r="F246" s="6"/>
      <x:c r="G246" s="6"/>
      <x:c r="H246" s="6"/>
      <x:c r="I246" s="6"/>
      <x:c r="J246" s="6"/>
      <x:c r="K246" s="6"/>
      <x:c r="L246" s="6"/>
      <x:c r="M246" s="6"/>
      <x:c r="N246" s="6"/>
      <x:c r="O246" s="6"/>
      <x:c r="P246" s="6"/>
      <x:c r="Q246" s="6"/>
    </x:row>
    <x:row r="247" ht="19" customHeight="1">
      <x:c r="A247" s="6"/>
      <x:c r="B247" s="6"/>
      <x:c r="C247" s="6"/>
      <x:c r="D247" s="6"/>
      <x:c r="E247" s="6"/>
      <x:c r="F247" s="6"/>
      <x:c r="G247" s="6"/>
      <x:c r="H247" s="6"/>
      <x:c r="I247" s="6"/>
      <x:c r="J247" s="6"/>
      <x:c r="K247" s="6"/>
      <x:c r="L247" s="6"/>
      <x:c r="M247" s="6"/>
      <x:c r="N247" s="6"/>
      <x:c r="O247" s="6"/>
      <x:c r="P247" s="6"/>
      <x:c r="Q247" s="6"/>
    </x:row>
    <x:row r="248" ht="19" customHeight="1">
      <x:c r="A248" s="6"/>
      <x:c r="B248" s="6"/>
      <x:c r="C248" s="6"/>
      <x:c r="D248" s="6"/>
      <x:c r="E248" s="6"/>
      <x:c r="F248" s="6"/>
      <x:c r="G248" s="6"/>
      <x:c r="H248" s="6"/>
      <x:c r="I248" s="6"/>
      <x:c r="J248" s="6"/>
      <x:c r="K248" s="6"/>
      <x:c r="L248" s="6"/>
      <x:c r="M248" s="6"/>
      <x:c r="N248" s="6"/>
      <x:c r="O248" s="6"/>
      <x:c r="P248" s="6"/>
      <x:c r="Q248" s="6"/>
    </x:row>
    <x:row r="249" ht="19" customHeight="1">
      <x:c r="A249" s="6"/>
      <x:c r="B249" s="6"/>
      <x:c r="C249" s="6"/>
      <x:c r="D249" s="6"/>
      <x:c r="E249" s="6"/>
      <x:c r="F249" s="6"/>
      <x:c r="G249" s="6"/>
      <x:c r="H249" s="6"/>
      <x:c r="I249" s="6"/>
      <x:c r="J249" s="6"/>
      <x:c r="K249" s="6"/>
      <x:c r="L249" s="6"/>
      <x:c r="M249" s="6"/>
      <x:c r="N249" s="6"/>
      <x:c r="O249" s="6"/>
      <x:c r="P249" s="6"/>
      <x:c r="Q249" s="6"/>
    </x:row>
    <x:row r="250" ht="19" customHeight="1">
      <x:c r="A250" s="6"/>
      <x:c r="B250" s="6"/>
      <x:c r="C250" s="6"/>
      <x:c r="D250" s="6"/>
      <x:c r="E250" s="6"/>
      <x:c r="F250" s="6"/>
      <x:c r="G250" s="6"/>
      <x:c r="H250" s="6"/>
      <x:c r="I250" s="6"/>
      <x:c r="J250" s="6"/>
      <x:c r="K250" s="6"/>
      <x:c r="L250" s="6"/>
      <x:c r="M250" s="6"/>
      <x:c r="N250" s="6"/>
      <x:c r="O250" s="6"/>
      <x:c r="P250" s="6"/>
      <x:c r="Q250" s="6"/>
    </x:row>
    <x:row r="251" ht="19" customHeight="1">
      <x:c r="A251" s="6"/>
      <x:c r="B251" s="6"/>
      <x:c r="C251" s="6"/>
      <x:c r="D251" s="6"/>
      <x:c r="E251" s="6"/>
      <x:c r="F251" s="6"/>
      <x:c r="G251" s="6"/>
      <x:c r="H251" s="6"/>
      <x:c r="I251" s="6"/>
      <x:c r="J251" s="6"/>
      <x:c r="K251" s="6"/>
      <x:c r="L251" s="6"/>
      <x:c r="M251" s="6"/>
      <x:c r="N251" s="6"/>
      <x:c r="O251" s="6"/>
      <x:c r="P251" s="6"/>
      <x:c r="Q251" s="6"/>
    </x:row>
    <x:row r="252" ht="19" customHeight="1">
      <x:c r="A252" s="6"/>
      <x:c r="B252" s="6"/>
      <x:c r="C252" s="6"/>
      <x:c r="D252" s="6"/>
      <x:c r="E252" s="6"/>
      <x:c r="F252" s="6"/>
      <x:c r="G252" s="6"/>
      <x:c r="H252" s="6"/>
      <x:c r="I252" s="6"/>
      <x:c r="J252" s="6"/>
      <x:c r="K252" s="6"/>
      <x:c r="L252" s="6"/>
      <x:c r="M252" s="6"/>
      <x:c r="N252" s="6"/>
      <x:c r="O252" s="6"/>
      <x:c r="P252" s="6"/>
      <x:c r="Q252" s="6"/>
    </x:row>
    <x:row r="253" ht="19" customHeight="1">
      <x:c r="A253" s="6"/>
      <x:c r="B253" s="6"/>
      <x:c r="C253" s="6"/>
      <x:c r="D253" s="6"/>
      <x:c r="E253" s="6"/>
      <x:c r="F253" s="6"/>
      <x:c r="G253" s="6"/>
      <x:c r="H253" s="6"/>
      <x:c r="I253" s="6"/>
      <x:c r="J253" s="6"/>
      <x:c r="K253" s="6"/>
      <x:c r="L253" s="6"/>
      <x:c r="M253" s="6"/>
      <x:c r="N253" s="6"/>
      <x:c r="O253" s="6"/>
      <x:c r="P253" s="6"/>
      <x:c r="Q253" s="6"/>
    </x:row>
    <x:row r="254" ht="19" customHeight="1">
      <x:c r="A254" s="6"/>
      <x:c r="B254" s="6"/>
      <x:c r="C254" s="6"/>
      <x:c r="D254" s="6"/>
      <x:c r="E254" s="6"/>
      <x:c r="F254" s="6"/>
      <x:c r="G254" s="6"/>
      <x:c r="H254" s="6"/>
      <x:c r="I254" s="6"/>
      <x:c r="J254" s="6"/>
      <x:c r="K254" s="6"/>
      <x:c r="L254" s="6"/>
      <x:c r="M254" s="6"/>
      <x:c r="N254" s="6"/>
      <x:c r="O254" s="6"/>
      <x:c r="P254" s="6"/>
      <x:c r="Q254" s="6"/>
    </x:row>
    <x:row r="255" ht="19" customHeight="1">
      <x:c r="A255" s="6"/>
      <x:c r="B255" s="6"/>
      <x:c r="C255" s="6"/>
      <x:c r="D255" s="6"/>
      <x:c r="E255" s="6"/>
      <x:c r="F255" s="6"/>
      <x:c r="G255" s="6"/>
      <x:c r="H255" s="6"/>
      <x:c r="I255" s="6"/>
      <x:c r="J255" s="6"/>
      <x:c r="K255" s="6"/>
      <x:c r="L255" s="6"/>
      <x:c r="M255" s="6"/>
      <x:c r="N255" s="6"/>
      <x:c r="O255" s="6"/>
      <x:c r="P255" s="6"/>
      <x:c r="Q255" s="6"/>
    </x:row>
    <x:row r="256" ht="19" customHeight="1">
      <x:c r="A256" s="6"/>
      <x:c r="B256" s="6"/>
      <x:c r="C256" s="6"/>
      <x:c r="D256" s="6"/>
      <x:c r="E256" s="6"/>
      <x:c r="F256" s="6"/>
      <x:c r="G256" s="6"/>
      <x:c r="H256" s="6"/>
      <x:c r="I256" s="6"/>
      <x:c r="J256" s="6"/>
      <x:c r="K256" s="6"/>
      <x:c r="L256" s="6"/>
      <x:c r="M256" s="6"/>
      <x:c r="N256" s="6"/>
      <x:c r="O256" s="6"/>
      <x:c r="P256" s="6"/>
      <x:c r="Q256" s="6"/>
    </x:row>
    <x:row r="257" ht="19" customHeight="1">
      <x:c r="A257" s="6"/>
      <x:c r="B257" s="6"/>
      <x:c r="C257" s="6"/>
      <x:c r="D257" s="6"/>
      <x:c r="E257" s="6"/>
      <x:c r="F257" s="6"/>
      <x:c r="G257" s="6"/>
      <x:c r="H257" s="6"/>
      <x:c r="I257" s="6"/>
      <x:c r="J257" s="6"/>
      <x:c r="K257" s="6"/>
      <x:c r="L257" s="6"/>
      <x:c r="M257" s="6"/>
      <x:c r="N257" s="6"/>
      <x:c r="O257" s="6"/>
      <x:c r="P257" s="6"/>
      <x:c r="Q257" s="6"/>
    </x:row>
    <x:row r="258" ht="19" customHeight="1">
      <x:c r="A258" s="6"/>
      <x:c r="B258" s="6"/>
      <x:c r="C258" s="6"/>
      <x:c r="D258" s="6"/>
      <x:c r="E258" s="6"/>
      <x:c r="F258" s="6"/>
      <x:c r="G258" s="6"/>
      <x:c r="H258" s="6"/>
      <x:c r="I258" s="6"/>
      <x:c r="J258" s="6"/>
      <x:c r="K258" s="6"/>
      <x:c r="L258" s="6"/>
      <x:c r="M258" s="6"/>
      <x:c r="N258" s="6"/>
      <x:c r="O258" s="6"/>
      <x:c r="P258" s="6"/>
      <x:c r="Q258" s="6"/>
    </x:row>
    <x:row r="259" ht="19" customHeight="1">
      <x:c r="A259" s="6"/>
      <x:c r="B259" s="6"/>
      <x:c r="C259" s="6"/>
      <x:c r="D259" s="6"/>
      <x:c r="E259" s="6"/>
      <x:c r="F259" s="6"/>
      <x:c r="G259" s="6"/>
      <x:c r="H259" s="6"/>
      <x:c r="I259" s="6"/>
      <x:c r="J259" s="6"/>
      <x:c r="K259" s="6"/>
      <x:c r="L259" s="6"/>
      <x:c r="M259" s="6"/>
      <x:c r="N259" s="6"/>
      <x:c r="O259" s="6"/>
      <x:c r="P259" s="6"/>
      <x:c r="Q259" s="6"/>
    </x:row>
    <x:row r="260" ht="19" customHeight="1">
      <x:c r="A260" s="6"/>
      <x:c r="B260" s="6"/>
      <x:c r="C260" s="6"/>
      <x:c r="D260" s="6"/>
      <x:c r="E260" s="6"/>
      <x:c r="F260" s="6"/>
      <x:c r="G260" s="6"/>
      <x:c r="H260" s="6"/>
      <x:c r="I260" s="6"/>
      <x:c r="J260" s="6"/>
      <x:c r="K260" s="6"/>
      <x:c r="L260" s="6"/>
      <x:c r="M260" s="6"/>
      <x:c r="N260" s="6"/>
      <x:c r="O260" s="6"/>
      <x:c r="P260" s="6"/>
      <x:c r="Q260" s="6"/>
    </x:row>
  </x:sheetData>
  <x:mergeCells>
    <x:mergeCell ref="A1:J2"/>
    <x:mergeCell ref="A3:J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0" hidden="0" customWidth="1"/>
    <x:col min="3" max="3" width="11" hidden="0" customWidth="1"/>
    <x:col min="4" max="4" width="11" hidden="0" customWidth="1"/>
    <x:col min="5" max="5" width="11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1" ht="24" customHeight="1">
      <x:c r="A1" s="10" t="str">
        <x:v>Нечёткий коллективный TOPSIS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  <x:c r="P1" s="10"/>
      <x:c r="Q1" s="10"/>
    </x:row>
    <x:row r="2" ht="24" customHeight="1">
      <x:c r="A2" s="10"/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</x:row>
    <x:row r="3" ht="19" customHeight="1">
      <x:c r="A3" s="6" t="str">
        <x:v>Треугольные числа сортируются из 3 индивидуальных баллов; для выгоды r=(l,m,u)/max_i(u); веса w=(l,m,u)/Σ median.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</x:row>
    <x:row r="4" ht="26" customHeight="1">
      <x:c r="A4" s="25" t="str">
        <x:v>1. Треугольные важности и нечёткие веса</x:v>
      </x:c>
      <x:c r="B4" s="25"/>
      <x:c r="C4" s="25"/>
      <x:c r="D4" s="25"/>
      <x:c r="E4" s="25"/>
      <x:c r="F4" s="25"/>
      <x:c r="G4" s="25"/>
      <x:c r="H4" s="25"/>
      <x:c r="I4" s="25"/>
      <x:c r="J4" s="25"/>
      <x:c r="K4" s="25"/>
      <x:c r="L4" s="25"/>
      <x:c r="M4" s="25"/>
      <x:c r="N4" s="25"/>
      <x:c r="O4" s="25"/>
      <x:c r="P4" s="25"/>
      <x:c r="Q4" s="25"/>
    </x:row>
    <x:row r="5" ht="30" customHeight="1">
      <x:c r="A5" s="17" t="str">
        <x:v>Код</x:v>
      </x:c>
      <x:c r="B5" s="17" t="str">
        <x:v>Название</x:v>
      </x:c>
      <x:c r="C5" s="17" t="str">
        <x:v>l</x:v>
      </x:c>
      <x:c r="D5" s="17" t="str">
        <x:v>m</x:v>
      </x:c>
      <x:c r="E5" s="17" t="str">
        <x:v>u</x:v>
      </x:c>
      <x:c r="F5" s="17" t="str">
        <x:v>w(l)</x:v>
      </x:c>
      <x:c r="G5" s="17" t="str">
        <x:v>w(m)</x:v>
      </x:c>
      <x:c r="H5" s="17" t="str">
        <x:v>w(u)</x:v>
      </x:c>
      <x:c r="I5" s="17" t="str">
        <x:v>max u оценок</x:v>
      </x:c>
      <x:c r="J5" s="6"/>
      <x:c r="K5" s="6"/>
      <x:c r="L5" s="6"/>
      <x:c r="M5" s="6"/>
      <x:c r="N5" s="6"/>
      <x:c r="O5" s="6"/>
      <x:c r="P5" s="6"/>
      <x:c r="Q5" s="6"/>
    </x:row>
    <x:row r="6" ht="19" customHeight="1">
      <x:c r="A6" s="6" t="str">
        <x:v>K1</x:v>
      </x:c>
      <x:c r="B6" s="6" t="str">
        <x:v>Ценность для студентов</x:v>
      </x:c>
      <x:c r="C6" s="6" t="n">
        <x:f>'Оценки'!H5</x:f>
        <x:v>8</x:v>
      </x:c>
      <x:c r="D6" s="6" t="n">
        <x:f>'Оценки'!I5</x:f>
        <x:v>9</x:v>
      </x:c>
      <x:c r="E6" s="6" t="n">
        <x:f>'Оценки'!J5</x:f>
        <x:v>9</x:v>
      </x:c>
      <x:c r="F6" s="34" t="n">
        <x:f>C6/SUM($D$6:$D$10)</x:f>
        <x:v>0.21052631578947367</x:v>
      </x:c>
      <x:c r="G6" s="34" t="n">
        <x:f>D6/SUM($D$6:$D$10)</x:f>
        <x:v>0.23684210526315788</x:v>
      </x:c>
      <x:c r="H6" s="34" t="n">
        <x:f>E6/SUM($D$6:$D$10)</x:f>
        <x:v>0.23684210526315788</x:v>
      </x:c>
      <x:c r="I6" s="6" t="n">
        <x:f>MAX(E14,E19,E24,E29)</x:f>
        <x:v>9</x:v>
      </x:c>
      <x:c r="J6" s="6"/>
      <x:c r="K6" s="6"/>
      <x:c r="L6" s="6"/>
      <x:c r="M6" s="6"/>
      <x:c r="N6" s="6"/>
      <x:c r="O6" s="6"/>
      <x:c r="P6" s="6"/>
      <x:c r="Q6" s="6"/>
    </x:row>
    <x:row r="7" ht="19" customHeight="1">
      <x:c r="A7" s="6" t="str">
        <x:v>K2</x:v>
      </x:c>
      <x:c r="B7" s="6" t="str">
        <x:v>Реализуемость MVP</x:v>
      </x:c>
      <x:c r="C7" s="6" t="n">
        <x:f>'Оценки'!H6</x:f>
        <x:v>8</x:v>
      </x:c>
      <x:c r="D7" s="6" t="n">
        <x:f>'Оценки'!I6</x:f>
        <x:v>8</x:v>
      </x:c>
      <x:c r="E7" s="6" t="n">
        <x:f>'Оценки'!J6</x:f>
        <x:v>9</x:v>
      </x:c>
      <x:c r="F7" s="34" t="n">
        <x:f>C7/SUM($D$6:$D$10)</x:f>
        <x:v>0.21052631578947367</x:v>
      </x:c>
      <x:c r="G7" s="34" t="n">
        <x:f>D7/SUM($D$6:$D$10)</x:f>
        <x:v>0.21052631578947367</x:v>
      </x:c>
      <x:c r="H7" s="34" t="n">
        <x:f>E7/SUM($D$6:$D$10)</x:f>
        <x:v>0.23684210526315788</x:v>
      </x:c>
      <x:c r="I7" s="6" t="n">
        <x:f>MAX(E15,E20,E25,E30)</x:f>
        <x:v>9</x:v>
      </x:c>
      <x:c r="J7" s="6"/>
      <x:c r="K7" s="6"/>
      <x:c r="L7" s="6"/>
      <x:c r="M7" s="6"/>
      <x:c r="N7" s="6"/>
      <x:c r="O7" s="6"/>
      <x:c r="P7" s="6"/>
      <x:c r="Q7" s="6"/>
    </x:row>
    <x:row r="8" ht="19" customHeight="1">
      <x:c r="A8" s="6" t="str">
        <x:v>K3</x:v>
      </x:c>
      <x:c r="B8" s="6" t="str">
        <x:v>Проверяемость и демо</x:v>
      </x:c>
      <x:c r="C8" s="6" t="n">
        <x:f>'Оценки'!H7</x:f>
        <x:v>7</x:v>
      </x:c>
      <x:c r="D8" s="6" t="n">
        <x:f>'Оценки'!I7</x:f>
        <x:v>8</x:v>
      </x:c>
      <x:c r="E8" s="6" t="n">
        <x:f>'Оценки'!J7</x:f>
        <x:v>8</x:v>
      </x:c>
      <x:c r="F8" s="34" t="n">
        <x:f>C8/SUM($D$6:$D$10)</x:f>
        <x:v>0.18421052631578946</x:v>
      </x:c>
      <x:c r="G8" s="34" t="n">
        <x:f>D8/SUM($D$6:$D$10)</x:f>
        <x:v>0.21052631578947367</x:v>
      </x:c>
      <x:c r="H8" s="34" t="n">
        <x:f>E8/SUM($D$6:$D$10)</x:f>
        <x:v>0.21052631578947367</x:v>
      </x:c>
      <x:c r="I8" s="6" t="n">
        <x:f>MAX(E16,E21,E26,E31)</x:f>
        <x:v>9</x:v>
      </x:c>
      <x:c r="J8" s="6"/>
      <x:c r="K8" s="6"/>
      <x:c r="L8" s="6"/>
      <x:c r="M8" s="6"/>
      <x:c r="N8" s="6"/>
      <x:c r="O8" s="6"/>
      <x:c r="P8" s="6"/>
      <x:c r="Q8" s="6"/>
    </x:row>
    <x:row r="9" ht="19" customHeight="1">
      <x:c r="A9" s="6" t="str">
        <x:v>K4</x:v>
      </x:c>
      <x:c r="B9" s="6" t="str">
        <x:v>Доступность тестовых данных</x:v>
      </x:c>
      <x:c r="C9" s="6" t="n">
        <x:f>'Оценки'!H8</x:f>
        <x:v>6</x:v>
      </x:c>
      <x:c r="D9" s="6" t="n">
        <x:f>'Оценки'!I8</x:f>
        <x:v>7</x:v>
      </x:c>
      <x:c r="E9" s="6" t="n">
        <x:f>'Оценки'!J8</x:f>
        <x:v>7</x:v>
      </x:c>
      <x:c r="F9" s="34" t="n">
        <x:f>C9/SUM($D$6:$D$10)</x:f>
        <x:v>0.15789473684210525</x:v>
      </x:c>
      <x:c r="G9" s="34" t="n">
        <x:f>D9/SUM($D$6:$D$10)</x:f>
        <x:v>0.18421052631578946</x:v>
      </x:c>
      <x:c r="H9" s="34" t="n">
        <x:f>E9/SUM($D$6:$D$10)</x:f>
        <x:v>0.18421052631578946</x:v>
      </x:c>
      <x:c r="I9" s="6" t="n">
        <x:f>MAX(E17,E22,E27,E32)</x:f>
        <x:v>9</x:v>
      </x:c>
      <x:c r="J9" s="6"/>
      <x:c r="K9" s="6"/>
      <x:c r="L9" s="6"/>
      <x:c r="M9" s="6"/>
      <x:c r="N9" s="6"/>
      <x:c r="O9" s="6"/>
      <x:c r="P9" s="6"/>
      <x:c r="Q9" s="6"/>
    </x:row>
    <x:row r="10" ht="19" customHeight="1">
      <x:c r="A10" s="6" t="str">
        <x:v>K5</x:v>
      </x:c>
      <x:c r="B10" s="6" t="str">
        <x:v>Потенциал развития</x:v>
      </x:c>
      <x:c r="C10" s="6" t="n">
        <x:f>'Оценки'!H9</x:f>
        <x:v>5</x:v>
      </x:c>
      <x:c r="D10" s="6" t="n">
        <x:f>'Оценки'!I9</x:f>
        <x:v>6</x:v>
      </x:c>
      <x:c r="E10" s="6" t="n">
        <x:f>'Оценки'!J9</x:f>
        <x:v>6</x:v>
      </x:c>
      <x:c r="F10" s="34" t="n">
        <x:f>C10/SUM($D$6:$D$10)</x:f>
        <x:v>0.13157894736842105</x:v>
      </x:c>
      <x:c r="G10" s="34" t="n">
        <x:f>D10/SUM($D$6:$D$10)</x:f>
        <x:v>0.15789473684210525</x:v>
      </x:c>
      <x:c r="H10" s="34" t="n">
        <x:f>E10/SUM($D$6:$D$10)</x:f>
        <x:v>0.15789473684210525</x:v>
      </x:c>
      <x:c r="I10" s="6" t="n">
        <x:f>MAX(E18,E23,E28,E33)</x:f>
        <x:v>9</x:v>
      </x:c>
      <x:c r="J10" s="6"/>
      <x:c r="K10" s="6"/>
      <x:c r="L10" s="6"/>
      <x:c r="M10" s="6"/>
      <x:c r="N10" s="6"/>
      <x:c r="O10" s="6"/>
      <x:c r="P10" s="6"/>
      <x:c r="Q10" s="6"/>
    </x:row>
    <x:row r="11" ht="19" customHeight="1">
      <x:c r="A11" s="6"/>
      <x:c r="B11" s="6"/>
      <x:c r="C11" s="6"/>
      <x:c r="D11" s="6"/>
      <x:c r="E11" s="6"/>
      <x:c r="F11" s="6"/>
      <x:c r="G11" s="6"/>
      <x:c r="H11" s="6"/>
      <x:c r="I11" s="6"/>
      <x:c r="J11" s="6"/>
      <x:c r="K11" s="6"/>
      <x:c r="L11" s="6"/>
      <x:c r="M11" s="6"/>
      <x:c r="N11" s="6"/>
      <x:c r="O11" s="6"/>
      <x:c r="P11" s="6"/>
      <x:c r="Q11" s="6"/>
    </x:row>
    <x:row r="12" ht="26" customHeight="1">
      <x:c r="A12" s="25" t="str">
        <x:v>2. Нормализованная и взвешенная матрица — все 20 строк</x:v>
      </x:c>
      <x:c r="B12" s="25"/>
      <x:c r="C12" s="25"/>
      <x:c r="D12" s="25"/>
      <x:c r="E12" s="25"/>
      <x:c r="F12" s="25"/>
      <x:c r="G12" s="25"/>
      <x:c r="H12" s="25"/>
      <x:c r="I12" s="25"/>
      <x:c r="J12" s="25"/>
      <x:c r="K12" s="25"/>
      <x:c r="L12" s="25"/>
      <x:c r="M12" s="25"/>
      <x:c r="N12" s="25"/>
      <x:c r="O12" s="25"/>
      <x:c r="P12" s="25"/>
      <x:c r="Q12" s="25"/>
    </x:row>
    <x:row r="13" ht="30" customHeight="1">
      <x:c r="A13" s="17" t="str">
        <x:v>Alt</x:v>
      </x:c>
      <x:c r="B13" s="17" t="str">
        <x:v>K</x:v>
      </x:c>
      <x:c r="C13" s="17" t="str">
        <x:v>x(l)</x:v>
      </x:c>
      <x:c r="D13" s="17" t="str">
        <x:v>x(m)</x:v>
      </x:c>
      <x:c r="E13" s="17" t="str">
        <x:v>x(u)</x:v>
      </x:c>
      <x:c r="F13" s="17" t="str">
        <x:v>max u</x:v>
      </x:c>
      <x:c r="G13" s="17" t="str">
        <x:v>r(l)</x:v>
      </x:c>
      <x:c r="H13" s="17" t="str">
        <x:v>r(m)</x:v>
      </x:c>
      <x:c r="I13" s="17" t="str">
        <x:v>r(u)</x:v>
      </x:c>
      <x:c r="J13" s="17" t="str">
        <x:v>w(l)</x:v>
      </x:c>
      <x:c r="K13" s="17" t="str">
        <x:v>w(m)</x:v>
      </x:c>
      <x:c r="L13" s="17" t="str">
        <x:v>w(u)</x:v>
      </x:c>
      <x:c r="M13" s="17" t="str">
        <x:v>v(l)</x:v>
      </x:c>
      <x:c r="N13" s="17" t="str">
        <x:v>v(m)</x:v>
      </x:c>
      <x:c r="O13" s="17" t="str">
        <x:v>v(u)</x:v>
      </x:c>
      <x:c r="P13" s="17" t="str">
        <x:v>d+</x:v>
      </x:c>
      <x:c r="Q13" s="17" t="str">
        <x:v>d−</x:v>
      </x:c>
    </x:row>
    <x:row r="14" ht="19" customHeight="1">
      <x:c r="A14" s="24" t="str">
        <x:v>A1</x:v>
      </x:c>
      <x:c r="B14" s="24" t="str">
        <x:v>K1</x:v>
      </x:c>
      <x:c r="C14" s="24" t="n">
        <x:f>'Оценки'!H10</x:f>
        <x:v>7</x:v>
      </x:c>
      <x:c r="D14" s="24" t="n">
        <x:f>'Оценки'!I10</x:f>
        <x:v>7</x:v>
      </x:c>
      <x:c r="E14" s="24" t="n">
        <x:f>'Оценки'!J10</x:f>
        <x:v>8</x:v>
      </x:c>
      <x:c r="F14" s="24" t="n">
        <x:f>$I$6</x:f>
        <x:v>9</x:v>
      </x:c>
      <x:c r="G14" s="36" t="n">
        <x:f>C14/F14</x:f>
        <x:v>0.7777777777777778</x:v>
      </x:c>
      <x:c r="H14" s="36" t="n">
        <x:f>D14/F14</x:f>
        <x:v>0.7777777777777778</x:v>
      </x:c>
      <x:c r="I14" s="36" t="n">
        <x:f>E14/F14</x:f>
        <x:v>0.8888888888888888</x:v>
      </x:c>
      <x:c r="J14" s="36" t="n">
        <x:f>$F$6</x:f>
        <x:v>0.21052631578947367</x:v>
      </x:c>
      <x:c r="K14" s="36" t="n">
        <x:f>$G$6</x:f>
        <x:v>0.23684210526315788</x:v>
      </x:c>
      <x:c r="L14" s="36" t="n">
        <x:f>$H$6</x:f>
        <x:v>0.23684210526315788</x:v>
      </x:c>
      <x:c r="M14" s="36" t="n">
        <x:f>G14*J14</x:f>
        <x:v>0.16374269005847952</x:v>
      </x:c>
      <x:c r="N14" s="36" t="n">
        <x:f>H14*K14</x:f>
        <x:v>0.18421052631578946</x:v>
      </x:c>
      <x:c r="O14" s="36" t="n">
        <x:f>I14*L14</x:f>
        <x:v>0.21052631578947367</x:v>
      </x:c>
      <x:c r="P14" s="36" t="n">
        <x:f>SQRT(((M14-$B$37)^2+(N14-$B$37)^2+(O14-$B$37)^2)/3)</x:f>
        <x:v>0.05417911153874189</x:v>
      </x:c>
      <x:c r="Q14" s="36" t="n">
        <x:f>SQRT(((M14-$C$37)^2+(N14-$C$37)^2+(O14-$C$37)^2)/3)</x:f>
        <x:v>0.04965023636237828</x:v>
      </x:c>
    </x:row>
    <x:row r="15" ht="19" customHeight="1">
      <x:c r="A15" s="6" t="str">
        <x:v>A1</x:v>
      </x:c>
      <x:c r="B15" s="6" t="str">
        <x:v>K2</x:v>
      </x:c>
      <x:c r="C15" s="6" t="n">
        <x:f>'Оценки'!H11</x:f>
        <x:v>8</x:v>
      </x:c>
      <x:c r="D15" s="6" t="n">
        <x:f>'Оценки'!I11</x:f>
        <x:v>9</x:v>
      </x:c>
      <x:c r="E15" s="6" t="n">
        <x:f>'Оценки'!J11</x:f>
        <x:v>9</x:v>
      </x:c>
      <x:c r="F15" s="6" t="n">
        <x:f>$I$7</x:f>
        <x:v>9</x:v>
      </x:c>
      <x:c r="G15" s="34" t="n">
        <x:f>C15/F15</x:f>
        <x:v>0.8888888888888888</x:v>
      </x:c>
      <x:c r="H15" s="34" t="n">
        <x:f>D15/F15</x:f>
        <x:v>1</x:v>
      </x:c>
      <x:c r="I15" s="34" t="n">
        <x:f>E15/F15</x:f>
        <x:v>1</x:v>
      </x:c>
      <x:c r="J15" s="34" t="n">
        <x:f>$F$7</x:f>
        <x:v>0.21052631578947367</x:v>
      </x:c>
      <x:c r="K15" s="34" t="n">
        <x:f>$G$7</x:f>
        <x:v>0.21052631578947367</x:v>
      </x:c>
      <x:c r="L15" s="34" t="n">
        <x:f>$H$7</x:f>
        <x:v>0.23684210526315788</x:v>
      </x:c>
      <x:c r="M15" s="34" t="n">
        <x:f>G15*J15</x:f>
        <x:v>0.1871345029239766</x:v>
      </x:c>
      <x:c r="N15" s="34" t="n">
        <x:f>H15*K15</x:f>
        <x:v>0.21052631578947367</x:v>
      </x:c>
      <x:c r="O15" s="34" t="n">
        <x:f>I15*L15</x:f>
        <x:v>0.23684210526315788</x:v>
      </x:c>
      <x:c r="P15" s="34" t="n">
        <x:f>SQRT(((M15-$B$38)^2+(N15-$B$38)^2+(O15-$B$38)^2)/3)</x:f>
        <x:v>0.03247238060225669</x:v>
      </x:c>
      <x:c r="Q15" s="34" t="n">
        <x:f>SQRT(((M15-$C$38)^2+(N15-$C$38)^2+(O15-$C$38)^2)/3)</x:f>
        <x:v>0.09669775287348545</x:v>
      </x:c>
    </x:row>
    <x:row r="16" ht="19" customHeight="1">
      <x:c r="A16" s="6" t="str">
        <x:v>A1</x:v>
      </x:c>
      <x:c r="B16" s="6" t="str">
        <x:v>K3</x:v>
      </x:c>
      <x:c r="C16" s="6" t="n">
        <x:f>'Оценки'!H12</x:f>
        <x:v>8</x:v>
      </x:c>
      <x:c r="D16" s="6" t="n">
        <x:f>'Оценки'!I12</x:f>
        <x:v>9</x:v>
      </x:c>
      <x:c r="E16" s="6" t="n">
        <x:f>'Оценки'!J12</x:f>
        <x:v>9</x:v>
      </x:c>
      <x:c r="F16" s="6" t="n">
        <x:f>$I$8</x:f>
        <x:v>9</x:v>
      </x:c>
      <x:c r="G16" s="34" t="n">
        <x:f>C16/F16</x:f>
        <x:v>0.8888888888888888</x:v>
      </x:c>
      <x:c r="H16" s="34" t="n">
        <x:f>D16/F16</x:f>
        <x:v>1</x:v>
      </x:c>
      <x:c r="I16" s="34" t="n">
        <x:f>E16/F16</x:f>
        <x:v>1</x:v>
      </x:c>
      <x:c r="J16" s="34" t="n">
        <x:f>$F$8</x:f>
        <x:v>0.18421052631578946</x:v>
      </x:c>
      <x:c r="K16" s="34" t="n">
        <x:f>$G$8</x:f>
        <x:v>0.21052631578947367</x:v>
      </x:c>
      <x:c r="L16" s="34" t="n">
        <x:f>$H$8</x:f>
        <x:v>0.21052631578947367</x:v>
      </x:c>
      <x:c r="M16" s="34" t="n">
        <x:f>G16*J16</x:f>
        <x:v>0.16374269005847952</x:v>
      </x:c>
      <x:c r="N16" s="34" t="n">
        <x:f>H16*K16</x:f>
        <x:v>0.21052631578947367</x:v>
      </x:c>
      <x:c r="O16" s="34" t="n">
        <x:f>I16*L16</x:f>
        <x:v>0.21052631578947367</x:v>
      </x:c>
      <x:c r="P16" s="34" t="n">
        <x:f>SQRT(((M16-$B$39)^2+(N16-$B$39)^2+(O16-$B$39)^2)/3)</x:f>
        <x:v>0.027010538909456174</x:v>
      </x:c>
      <x:c r="Q16" s="34" t="n">
        <x:f>SQRT(((M16-$C$39)^2+(N16-$C$39)^2+(O16-$C$39)^2)/3)</x:f>
        <x:v>0.07542121685049943</x:v>
      </x:c>
    </x:row>
    <x:row r="17" ht="19" customHeight="1">
      <x:c r="A17" s="6" t="str">
        <x:v>A1</x:v>
      </x:c>
      <x:c r="B17" s="6" t="str">
        <x:v>K4</x:v>
      </x:c>
      <x:c r="C17" s="6" t="n">
        <x:f>'Оценки'!H13</x:f>
        <x:v>8</x:v>
      </x:c>
      <x:c r="D17" s="6" t="n">
        <x:f>'Оценки'!I13</x:f>
        <x:v>9</x:v>
      </x:c>
      <x:c r="E17" s="6" t="n">
        <x:f>'Оценки'!J13</x:f>
        <x:v>9</x:v>
      </x:c>
      <x:c r="F17" s="6" t="n">
        <x:f>$I$9</x:f>
        <x:v>9</x:v>
      </x:c>
      <x:c r="G17" s="34" t="n">
        <x:f>C17/F17</x:f>
        <x:v>0.8888888888888888</x:v>
      </x:c>
      <x:c r="H17" s="34" t="n">
        <x:f>D17/F17</x:f>
        <x:v>1</x:v>
      </x:c>
      <x:c r="I17" s="34" t="n">
        <x:f>E17/F17</x:f>
        <x:v>1</x:v>
      </x:c>
      <x:c r="J17" s="34" t="n">
        <x:f>$F$9</x:f>
        <x:v>0.15789473684210525</x:v>
      </x:c>
      <x:c r="K17" s="34" t="n">
        <x:f>$G$9</x:f>
        <x:v>0.18421052631578946</x:v>
      </x:c>
      <x:c r="L17" s="34" t="n">
        <x:f>$H$9</x:f>
        <x:v>0.18421052631578946</x:v>
      </x:c>
      <x:c r="M17" s="34" t="n">
        <x:f>G17*J17</x:f>
        <x:v>0.14035087719298245</x:v>
      </x:c>
      <x:c r="N17" s="34" t="n">
        <x:f>H17*K17</x:f>
        <x:v>0.18421052631578946</x:v>
      </x:c>
      <x:c r="O17" s="34" t="n">
        <x:f>I17*L17</x:f>
        <x:v>0.18421052631578946</x:v>
      </x:c>
      <x:c r="P17" s="34" t="n">
        <x:f>SQRT(((M17-$B$40)^2+(N17-$B$40)^2+(O17-$B$40)^2)/3)</x:f>
        <x:v>0.025322380227615165</x:v>
      </x:c>
      <x:c r="Q17" s="34" t="n">
        <x:f>SQRT(((M17-$C$40)^2+(N17-$C$40)^2+(O17-$C$40)^2)/3)</x:f>
        <x:v>0.06756853806018329</x:v>
      </x:c>
    </x:row>
    <x:row r="18" ht="19" customHeight="1">
      <x:c r="A18" s="6" t="str">
        <x:v>A1</x:v>
      </x:c>
      <x:c r="B18" s="6" t="str">
        <x:v>K5</x:v>
      </x:c>
      <x:c r="C18" s="6" t="n">
        <x:f>'Оценки'!H14</x:f>
        <x:v>4</x:v>
      </x:c>
      <x:c r="D18" s="6" t="n">
        <x:f>'Оценки'!I14</x:f>
        <x:v>5</x:v>
      </x:c>
      <x:c r="E18" s="6" t="n">
        <x:f>'Оценки'!J14</x:f>
        <x:v>5</x:v>
      </x:c>
      <x:c r="F18" s="6" t="n">
        <x:f>$I$10</x:f>
        <x:v>9</x:v>
      </x:c>
      <x:c r="G18" s="34" t="n">
        <x:f>C18/F18</x:f>
        <x:v>0.4444444444444444</x:v>
      </x:c>
      <x:c r="H18" s="34" t="n">
        <x:f>D18/F18</x:f>
        <x:v>0.5555555555555556</x:v>
      </x:c>
      <x:c r="I18" s="34" t="n">
        <x:f>E18/F18</x:f>
        <x:v>0.5555555555555556</x:v>
      </x:c>
      <x:c r="J18" s="34" t="n">
        <x:f>$F$10</x:f>
        <x:v>0.13157894736842105</x:v>
      </x:c>
      <x:c r="K18" s="34" t="n">
        <x:f>$G$10</x:f>
        <x:v>0.15789473684210525</x:v>
      </x:c>
      <x:c r="L18" s="34" t="n">
        <x:f>$H$10</x:f>
        <x:v>0.15789473684210525</x:v>
      </x:c>
      <x:c r="M18" s="34" t="n">
        <x:f>G18*J18</x:f>
        <x:v>0.05847953216374269</x:v>
      </x:c>
      <x:c r="N18" s="34" t="n">
        <x:f>H18*K18</x:f>
        <x:v>0.08771929824561403</x:v>
      </x:c>
      <x:c r="O18" s="34" t="n">
        <x:f>I18*L18</x:f>
        <x:v>0.08771929824561403</x:v>
      </x:c>
      <x:c r="P18" s="34" t="n">
        <x:f>SQRT(((M18-$B$41)^2+(N18-$B$41)^2+(O18-$B$41)^2)/3)</x:f>
        <x:v>0.08110192617042776</x:v>
      </x:c>
      <x:c r="Q18" s="34" t="n">
        <x:f>SQRT(((M18-$C$41)^2+(N18-$C$41)^2+(O18-$C$41)^2)/3)</x:f>
        <x:v>0.023874169032974443</x:v>
      </x:c>
    </x:row>
    <x:row r="19" ht="19" customHeight="1">
      <x:c r="A19" s="24" t="str">
        <x:v>A2</x:v>
      </x:c>
      <x:c r="B19" s="24" t="str">
        <x:v>K1</x:v>
      </x:c>
      <x:c r="C19" s="24" t="n">
        <x:f>'Оценки'!H15</x:f>
        <x:v>8</x:v>
      </x:c>
      <x:c r="D19" s="24" t="n">
        <x:f>'Оценки'!I15</x:f>
        <x:v>9</x:v>
      </x:c>
      <x:c r="E19" s="24" t="n">
        <x:f>'Оценки'!J15</x:f>
        <x:v>9</x:v>
      </x:c>
      <x:c r="F19" s="24" t="n">
        <x:f>$I$6</x:f>
        <x:v>9</x:v>
      </x:c>
      <x:c r="G19" s="36" t="n">
        <x:f>C19/F19</x:f>
        <x:v>0.8888888888888888</x:v>
      </x:c>
      <x:c r="H19" s="36" t="n">
        <x:f>D19/F19</x:f>
        <x:v>1</x:v>
      </x:c>
      <x:c r="I19" s="36" t="n">
        <x:f>E19/F19</x:f>
        <x:v>1</x:v>
      </x:c>
      <x:c r="J19" s="36" t="n">
        <x:f>$F$6</x:f>
        <x:v>0.21052631578947367</x:v>
      </x:c>
      <x:c r="K19" s="36" t="n">
        <x:f>$G$6</x:f>
        <x:v>0.23684210526315788</x:v>
      </x:c>
      <x:c r="L19" s="36" t="n">
        <x:f>$H$6</x:f>
        <x:v>0.23684210526315788</x:v>
      </x:c>
      <x:c r="M19" s="36" t="n">
        <x:f>G19*J19</x:f>
        <x:v>0.1871345029239766</x:v>
      </x:c>
      <x:c r="N19" s="36" t="n">
        <x:f>H19*K19</x:f>
        <x:v>0.23684210526315788</x:v>
      </x:c>
      <x:c r="O19" s="36" t="n">
        <x:f>I19*L19</x:f>
        <x:v>0.23684210526315788</x:v>
      </x:c>
      <x:c r="P19" s="36" t="n">
        <x:f>SQRT(((M19-$B$37)^2+(N19-$B$37)^2+(O19-$B$37)^2)/3)</x:f>
        <x:v>0.028698697591297184</x:v>
      </x:c>
      <x:c r="Q19" s="36" t="n">
        <x:f>SQRT(((M19-$C$37)^2+(N19-$C$37)^2+(O19-$C$37)^2)/3)</x:f>
        <x:v>0.08328629704322907</x:v>
      </x:c>
    </x:row>
    <x:row r="20" ht="19" customHeight="1">
      <x:c r="A20" s="6" t="str">
        <x:v>A2</x:v>
      </x:c>
      <x:c r="B20" s="6" t="str">
        <x:v>K2</x:v>
      </x:c>
      <x:c r="C20" s="6" t="n">
        <x:f>'Оценки'!H16</x:f>
        <x:v>7</x:v>
      </x:c>
      <x:c r="D20" s="6" t="n">
        <x:f>'Оценки'!I16</x:f>
        <x:v>8</x:v>
      </x:c>
      <x:c r="E20" s="6" t="n">
        <x:f>'Оценки'!J16</x:f>
        <x:v>8</x:v>
      </x:c>
      <x:c r="F20" s="6" t="n">
        <x:f>$I$7</x:f>
        <x:v>9</x:v>
      </x:c>
      <x:c r="G20" s="34" t="n">
        <x:f>C20/F20</x:f>
        <x:v>0.7777777777777778</x:v>
      </x:c>
      <x:c r="H20" s="34" t="n">
        <x:f>D20/F20</x:f>
        <x:v>0.8888888888888888</x:v>
      </x:c>
      <x:c r="I20" s="34" t="n">
        <x:f>E20/F20</x:f>
        <x:v>0.8888888888888888</x:v>
      </x:c>
      <x:c r="J20" s="34" t="n">
        <x:f>$F$7</x:f>
        <x:v>0.21052631578947367</x:v>
      </x:c>
      <x:c r="K20" s="34" t="n">
        <x:f>$G$7</x:f>
        <x:v>0.21052631578947367</x:v>
      </x:c>
      <x:c r="L20" s="34" t="n">
        <x:f>$H$7</x:f>
        <x:v>0.23684210526315788</x:v>
      </x:c>
      <x:c r="M20" s="34" t="n">
        <x:f>G20*J20</x:f>
        <x:v>0.16374269005847952</x:v>
      </x:c>
      <x:c r="N20" s="34" t="n">
        <x:f>H20*K20</x:f>
        <x:v>0.1871345029239766</x:v>
      </x:c>
      <x:c r="O20" s="34" t="n">
        <x:f>I20*L20</x:f>
        <x:v>0.21052631578947367</x:v>
      </x:c>
      <x:c r="P20" s="34" t="n">
        <x:f>SQRT(((M20-$B$38)^2+(N20-$B$38)^2+(O20-$B$38)^2)/3)</x:f>
        <x:v>0.05325063695769097</x:v>
      </x:c>
      <x:c r="Q20" s="34" t="n">
        <x:f>SQRT(((M20-$C$38)^2+(N20-$C$38)^2+(O20-$C$38)^2)/3)</x:f>
        <x:v>0.07272810177847028</x:v>
      </x:c>
    </x:row>
    <x:row r="21" ht="19" customHeight="1">
      <x:c r="A21" s="6" t="str">
        <x:v>A2</x:v>
      </x:c>
      <x:c r="B21" s="6" t="str">
        <x:v>K3</x:v>
      </x:c>
      <x:c r="C21" s="6" t="n">
        <x:f>'Оценки'!H17</x:f>
        <x:v>8</x:v>
      </x:c>
      <x:c r="D21" s="6" t="n">
        <x:f>'Оценки'!I17</x:f>
        <x:v>9</x:v>
      </x:c>
      <x:c r="E21" s="6" t="n">
        <x:f>'Оценки'!J17</x:f>
        <x:v>9</x:v>
      </x:c>
      <x:c r="F21" s="6" t="n">
        <x:f>$I$8</x:f>
        <x:v>9</x:v>
      </x:c>
      <x:c r="G21" s="34" t="n">
        <x:f>C21/F21</x:f>
        <x:v>0.8888888888888888</x:v>
      </x:c>
      <x:c r="H21" s="34" t="n">
        <x:f>D21/F21</x:f>
        <x:v>1</x:v>
      </x:c>
      <x:c r="I21" s="34" t="n">
        <x:f>E21/F21</x:f>
        <x:v>1</x:v>
      </x:c>
      <x:c r="J21" s="34" t="n">
        <x:f>$F$8</x:f>
        <x:v>0.18421052631578946</x:v>
      </x:c>
      <x:c r="K21" s="34" t="n">
        <x:f>$G$8</x:f>
        <x:v>0.21052631578947367</x:v>
      </x:c>
      <x:c r="L21" s="34" t="n">
        <x:f>$H$8</x:f>
        <x:v>0.21052631578947367</x:v>
      </x:c>
      <x:c r="M21" s="34" t="n">
        <x:f>G21*J21</x:f>
        <x:v>0.16374269005847952</x:v>
      </x:c>
      <x:c r="N21" s="34" t="n">
        <x:f>H21*K21</x:f>
        <x:v>0.21052631578947367</x:v>
      </x:c>
      <x:c r="O21" s="34" t="n">
        <x:f>I21*L21</x:f>
        <x:v>0.21052631578947367</x:v>
      </x:c>
      <x:c r="P21" s="34" t="n">
        <x:f>SQRT(((M21-$B$39)^2+(N21-$B$39)^2+(O21-$B$39)^2)/3)</x:f>
        <x:v>0.027010538909456174</x:v>
      </x:c>
      <x:c r="Q21" s="34" t="n">
        <x:f>SQRT(((M21-$C$39)^2+(N21-$C$39)^2+(O21-$C$39)^2)/3)</x:f>
        <x:v>0.07542121685049943</x:v>
      </x:c>
    </x:row>
    <x:row r="22" ht="19" customHeight="1">
      <x:c r="A22" s="6" t="str">
        <x:v>A2</x:v>
      </x:c>
      <x:c r="B22" s="6" t="str">
        <x:v>K4</x:v>
      </x:c>
      <x:c r="C22" s="6" t="n">
        <x:f>'Оценки'!H18</x:f>
        <x:v>8</x:v>
      </x:c>
      <x:c r="D22" s="6" t="n">
        <x:f>'Оценки'!I18</x:f>
        <x:v>9</x:v>
      </x:c>
      <x:c r="E22" s="6" t="n">
        <x:f>'Оценки'!J18</x:f>
        <x:v>9</x:v>
      </x:c>
      <x:c r="F22" s="6" t="n">
        <x:f>$I$9</x:f>
        <x:v>9</x:v>
      </x:c>
      <x:c r="G22" s="34" t="n">
        <x:f>C22/F22</x:f>
        <x:v>0.8888888888888888</x:v>
      </x:c>
      <x:c r="H22" s="34" t="n">
        <x:f>D22/F22</x:f>
        <x:v>1</x:v>
      </x:c>
      <x:c r="I22" s="34" t="n">
        <x:f>E22/F22</x:f>
        <x:v>1</x:v>
      </x:c>
      <x:c r="J22" s="34" t="n">
        <x:f>$F$9</x:f>
        <x:v>0.15789473684210525</x:v>
      </x:c>
      <x:c r="K22" s="34" t="n">
        <x:f>$G$9</x:f>
        <x:v>0.18421052631578946</x:v>
      </x:c>
      <x:c r="L22" s="34" t="n">
        <x:f>$H$9</x:f>
        <x:v>0.18421052631578946</x:v>
      </x:c>
      <x:c r="M22" s="34" t="n">
        <x:f>G22*J22</x:f>
        <x:v>0.14035087719298245</x:v>
      </x:c>
      <x:c r="N22" s="34" t="n">
        <x:f>H22*K22</x:f>
        <x:v>0.18421052631578946</x:v>
      </x:c>
      <x:c r="O22" s="34" t="n">
        <x:f>I22*L22</x:f>
        <x:v>0.18421052631578946</x:v>
      </x:c>
      <x:c r="P22" s="34" t="n">
        <x:f>SQRT(((M22-$B$40)^2+(N22-$B$40)^2+(O22-$B$40)^2)/3)</x:f>
        <x:v>0.025322380227615165</x:v>
      </x:c>
      <x:c r="Q22" s="34" t="n">
        <x:f>SQRT(((M22-$C$40)^2+(N22-$C$40)^2+(O22-$C$40)^2)/3)</x:f>
        <x:v>0.06756853806018329</x:v>
      </x:c>
    </x:row>
    <x:row r="23" ht="19" customHeight="1">
      <x:c r="A23" s="6" t="str">
        <x:v>A2</x:v>
      </x:c>
      <x:c r="B23" s="6" t="str">
        <x:v>K5</x:v>
      </x:c>
      <x:c r="C23" s="6" t="n">
        <x:f>'Оценки'!H19</x:f>
        <x:v>8</x:v>
      </x:c>
      <x:c r="D23" s="6" t="n">
        <x:f>'Оценки'!I19</x:f>
        <x:v>8</x:v>
      </x:c>
      <x:c r="E23" s="6" t="n">
        <x:f>'Оценки'!J19</x:f>
        <x:v>9</x:v>
      </x:c>
      <x:c r="F23" s="6" t="n">
        <x:f>$I$10</x:f>
        <x:v>9</x:v>
      </x:c>
      <x:c r="G23" s="34" t="n">
        <x:f>C23/F23</x:f>
        <x:v>0.8888888888888888</x:v>
      </x:c>
      <x:c r="H23" s="34" t="n">
        <x:f>D23/F23</x:f>
        <x:v>0.8888888888888888</x:v>
      </x:c>
      <x:c r="I23" s="34" t="n">
        <x:f>E23/F23</x:f>
        <x:v>1</x:v>
      </x:c>
      <x:c r="J23" s="34" t="n">
        <x:f>$F$10</x:f>
        <x:v>0.13157894736842105</x:v>
      </x:c>
      <x:c r="K23" s="34" t="n">
        <x:f>$G$10</x:f>
        <x:v>0.15789473684210525</x:v>
      </x:c>
      <x:c r="L23" s="34" t="n">
        <x:f>$H$10</x:f>
        <x:v>0.15789473684210525</x:v>
      </x:c>
      <x:c r="M23" s="34" t="n">
        <x:f>G23*J23</x:f>
        <x:v>0.11695906432748537</x:v>
      </x:c>
      <x:c r="N23" s="34" t="n">
        <x:f>H23*K23</x:f>
        <x:v>0.14035087719298245</x:v>
      </x:c>
      <x:c r="O23" s="34" t="n">
        <x:f>I23*L23</x:f>
        <x:v>0.15789473684210525</x:v>
      </x:c>
      <x:c r="P23" s="34" t="n">
        <x:f>SQRT(((M23-$B$41)^2+(N23-$B$41)^2+(O23-$B$41)^2)/3)</x:f>
        <x:v>0.02571326697519087</x:v>
      </x:c>
      <x:c r="Q23" s="34" t="n">
        <x:f>SQRT(((M23-$C$41)^2+(N23-$C$41)^2+(O23-$C$41)^2)/3)</x:f>
        <x:v>0.08166222247818093</x:v>
      </x:c>
    </x:row>
    <x:row r="24" ht="19" customHeight="1">
      <x:c r="A24" s="24" t="str">
        <x:v>A3</x:v>
      </x:c>
      <x:c r="B24" s="24" t="str">
        <x:v>K1</x:v>
      </x:c>
      <x:c r="C24" s="24" t="n">
        <x:f>'Оценки'!H20</x:f>
        <x:v>6</x:v>
      </x:c>
      <x:c r="D24" s="24" t="n">
        <x:f>'Оценки'!I20</x:f>
        <x:v>7</x:v>
      </x:c>
      <x:c r="E24" s="24" t="n">
        <x:f>'Оценки'!J20</x:f>
        <x:v>7</x:v>
      </x:c>
      <x:c r="F24" s="24" t="n">
        <x:f>$I$6</x:f>
        <x:v>9</x:v>
      </x:c>
      <x:c r="G24" s="36" t="n">
        <x:f>C24/F24</x:f>
        <x:v>0.6666666666666666</x:v>
      </x:c>
      <x:c r="H24" s="36" t="n">
        <x:f>D24/F24</x:f>
        <x:v>0.7777777777777778</x:v>
      </x:c>
      <x:c r="I24" s="36" t="n">
        <x:f>E24/F24</x:f>
        <x:v>0.7777777777777778</x:v>
      </x:c>
      <x:c r="J24" s="36" t="n">
        <x:f>$F$6</x:f>
        <x:v>0.21052631578947367</x:v>
      </x:c>
      <x:c r="K24" s="36" t="n">
        <x:f>$G$6</x:f>
        <x:v>0.23684210526315788</x:v>
      </x:c>
      <x:c r="L24" s="36" t="n">
        <x:f>$H$6</x:f>
        <x:v>0.23684210526315788</x:v>
      </x:c>
      <x:c r="M24" s="36" t="n">
        <x:f>G24*J24</x:f>
        <x:v>0.14035087719298245</x:v>
      </x:c>
      <x:c r="N24" s="36" t="n">
        <x:f>H24*K24</x:f>
        <x:v>0.18421052631578946</x:v>
      </x:c>
      <x:c r="O24" s="36" t="n">
        <x:f>I24*L24</x:f>
        <x:v>0.18421052631578946</x:v>
      </x:c>
      <x:c r="P24" s="36" t="n">
        <x:f>SQRT(((M24-$B$37)^2+(N24-$B$37)^2+(O24-$B$37)^2)/3)</x:f>
        <x:v>0.07035794979833897</x:v>
      </x:c>
      <x:c r="Q24" s="36" t="n">
        <x:f>SQRT(((M24-$C$37)^2+(N24-$C$37)^2+(O24-$C$37)^2)/3)</x:f>
        <x:v>0.035811253549461665</x:v>
      </x:c>
    </x:row>
    <x:row r="25" ht="19" customHeight="1">
      <x:c r="A25" s="6" t="str">
        <x:v>A3</x:v>
      </x:c>
      <x:c r="B25" s="6" t="str">
        <x:v>K2</x:v>
      </x:c>
      <x:c r="C25" s="6" t="n">
        <x:f>'Оценки'!H21</x:f>
        <x:v>8</x:v>
      </x:c>
      <x:c r="D25" s="6" t="n">
        <x:f>'Оценки'!I21</x:f>
        <x:v>8</x:v>
      </x:c>
      <x:c r="E25" s="6" t="n">
        <x:f>'Оценки'!J21</x:f>
        <x:v>9</x:v>
      </x:c>
      <x:c r="F25" s="6" t="n">
        <x:f>$I$7</x:f>
        <x:v>9</x:v>
      </x:c>
      <x:c r="G25" s="34" t="n">
        <x:f>C25/F25</x:f>
        <x:v>0.8888888888888888</x:v>
      </x:c>
      <x:c r="H25" s="34" t="n">
        <x:f>D25/F25</x:f>
        <x:v>0.8888888888888888</x:v>
      </x:c>
      <x:c r="I25" s="34" t="n">
        <x:f>E25/F25</x:f>
        <x:v>1</x:v>
      </x:c>
      <x:c r="J25" s="34" t="n">
        <x:f>$F$7</x:f>
        <x:v>0.21052631578947367</x:v>
      </x:c>
      <x:c r="K25" s="34" t="n">
        <x:f>$G$7</x:f>
        <x:v>0.21052631578947367</x:v>
      </x:c>
      <x:c r="L25" s="34" t="n">
        <x:f>$H$7</x:f>
        <x:v>0.23684210526315788</x:v>
      </x:c>
      <x:c r="M25" s="34" t="n">
        <x:f>G25*J25</x:f>
        <x:v>0.1871345029239766</x:v>
      </x:c>
      <x:c r="N25" s="34" t="n">
        <x:f>H25*K25</x:f>
        <x:v>0.1871345029239766</x:v>
      </x:c>
      <x:c r="O25" s="34" t="n">
        <x:f>I25*L25</x:f>
        <x:v>0.23684210526315788</x:v>
      </x:c>
      <x:c r="P25" s="34" t="n">
        <x:f>SQRT(((M25-$B$38)^2+(N25-$B$38)^2+(O25-$B$38)^2)/3)</x:f>
        <x:v>0.04058608735605655</x:v>
      </x:c>
      <x:c r="Q25" s="34" t="n">
        <x:f>SQRT(((M25-$C$38)^2+(N25-$C$38)^2+(O25-$C$38)^2)/3)</x:f>
        <x:v>0.08985382178554223</x:v>
      </x:c>
    </x:row>
    <x:row r="26" ht="19" customHeight="1">
      <x:c r="A26" s="6" t="str">
        <x:v>A3</x:v>
      </x:c>
      <x:c r="B26" s="6" t="str">
        <x:v>K3</x:v>
      </x:c>
      <x:c r="C26" s="6" t="n">
        <x:f>'Оценки'!H22</x:f>
        <x:v>7</x:v>
      </x:c>
      <x:c r="D26" s="6" t="n">
        <x:f>'Оценки'!I22</x:f>
        <x:v>8</x:v>
      </x:c>
      <x:c r="E26" s="6" t="n">
        <x:f>'Оценки'!J22</x:f>
        <x:v>8</x:v>
      </x:c>
      <x:c r="F26" s="6" t="n">
        <x:f>$I$8</x:f>
        <x:v>9</x:v>
      </x:c>
      <x:c r="G26" s="34" t="n">
        <x:f>C26/F26</x:f>
        <x:v>0.7777777777777778</x:v>
      </x:c>
      <x:c r="H26" s="34" t="n">
        <x:f>D26/F26</x:f>
        <x:v>0.8888888888888888</x:v>
      </x:c>
      <x:c r="I26" s="34" t="n">
        <x:f>E26/F26</x:f>
        <x:v>0.8888888888888888</x:v>
      </x:c>
      <x:c r="J26" s="34" t="n">
        <x:f>$F$8</x:f>
        <x:v>0.18421052631578946</x:v>
      </x:c>
      <x:c r="K26" s="34" t="n">
        <x:f>$G$8</x:f>
        <x:v>0.21052631578947367</x:v>
      </x:c>
      <x:c r="L26" s="34" t="n">
        <x:f>$H$8</x:f>
        <x:v>0.21052631578947367</x:v>
      </x:c>
      <x:c r="M26" s="34" t="n">
        <x:f>G26*J26</x:f>
        <x:v>0.14327485380116958</x:v>
      </x:c>
      <x:c r="N26" s="34" t="n">
        <x:f>H26*K26</x:f>
        <x:v>0.1871345029239766</x:v>
      </x:c>
      <x:c r="O26" s="34" t="n">
        <x:f>I26*L26</x:f>
        <x:v>0.1871345029239766</x:v>
      </x:c>
      <x:c r="P26" s="34" t="n">
        <x:f>SQRT(((M26-$B$39)^2+(N26-$B$39)^2+(O26-$B$39)^2)/3)</x:f>
        <x:v>0.04327090230101971</x:v>
      </x:c>
      <x:c r="Q26" s="34" t="n">
        <x:f>SQRT(((M26-$C$39)^2+(N26-$C$39)^2+(O26-$C$39)^2)/3)</x:f>
        <x:v>0.053836118829011605</x:v>
      </x:c>
    </x:row>
    <x:row r="27" ht="19" customHeight="1">
      <x:c r="A27" s="6" t="str">
        <x:v>A3</x:v>
      </x:c>
      <x:c r="B27" s="6" t="str">
        <x:v>K4</x:v>
      </x:c>
      <x:c r="C27" s="6" t="n">
        <x:f>'Оценки'!H23</x:f>
        <x:v>7</x:v>
      </x:c>
      <x:c r="D27" s="6" t="n">
        <x:f>'Оценки'!I23</x:f>
        <x:v>8</x:v>
      </x:c>
      <x:c r="E27" s="6" t="n">
        <x:f>'Оценки'!J23</x:f>
        <x:v>8</x:v>
      </x:c>
      <x:c r="F27" s="6" t="n">
        <x:f>$I$9</x:f>
        <x:v>9</x:v>
      </x:c>
      <x:c r="G27" s="34" t="n">
        <x:f>C27/F27</x:f>
        <x:v>0.7777777777777778</x:v>
      </x:c>
      <x:c r="H27" s="34" t="n">
        <x:f>D27/F27</x:f>
        <x:v>0.8888888888888888</x:v>
      </x:c>
      <x:c r="I27" s="34" t="n">
        <x:f>E27/F27</x:f>
        <x:v>0.8888888888888888</x:v>
      </x:c>
      <x:c r="J27" s="34" t="n">
        <x:f>$F$9</x:f>
        <x:v>0.15789473684210525</x:v>
      </x:c>
      <x:c r="K27" s="34" t="n">
        <x:f>$G$9</x:f>
        <x:v>0.18421052631578946</x:v>
      </x:c>
      <x:c r="L27" s="34" t="n">
        <x:f>$H$9</x:f>
        <x:v>0.18421052631578946</x:v>
      </x:c>
      <x:c r="M27" s="34" t="n">
        <x:f>G27*J27</x:f>
        <x:v>0.12280701754385964</x:v>
      </x:c>
      <x:c r="N27" s="34" t="n">
        <x:f>H27*K27</x:f>
        <x:v>0.16374269005847952</x:v>
      </x:c>
      <x:c r="O27" s="34" t="n">
        <x:f>I27*L27</x:f>
        <x:v>0.16374269005847952</x:v>
      </x:c>
      <x:c r="P27" s="34" t="n">
        <x:f>SQRT(((M27-$B$40)^2+(N27-$B$40)^2+(O27-$B$40)^2)/3)</x:f>
        <x:v>0.03919292253973313</x:v>
      </x:c>
      <x:c r="Q27" s="34" t="n">
        <x:f>SQRT(((M27-$C$40)^2+(N27-$C$40)^2+(O27-$C$40)^2)/3)</x:f>
        <x:v>0.04881085390077549</x:v>
      </x:c>
    </x:row>
    <x:row r="28" ht="19" customHeight="1">
      <x:c r="A28" s="6" t="str">
        <x:v>A3</x:v>
      </x:c>
      <x:c r="B28" s="6" t="str">
        <x:v>K5</x:v>
      </x:c>
      <x:c r="C28" s="6" t="n">
        <x:f>'Оценки'!H24</x:f>
        <x:v>7</x:v>
      </x:c>
      <x:c r="D28" s="6" t="n">
        <x:f>'Оценки'!I24</x:f>
        <x:v>7</x:v>
      </x:c>
      <x:c r="E28" s="6" t="n">
        <x:f>'Оценки'!J24</x:f>
        <x:v>8</x:v>
      </x:c>
      <x:c r="F28" s="6" t="n">
        <x:f>$I$10</x:f>
        <x:v>9</x:v>
      </x:c>
      <x:c r="G28" s="34" t="n">
        <x:f>C28/F28</x:f>
        <x:v>0.7777777777777778</x:v>
      </x:c>
      <x:c r="H28" s="34" t="n">
        <x:f>D28/F28</x:f>
        <x:v>0.7777777777777778</x:v>
      </x:c>
      <x:c r="I28" s="34" t="n">
        <x:f>E28/F28</x:f>
        <x:v>0.8888888888888888</x:v>
      </x:c>
      <x:c r="J28" s="34" t="n">
        <x:f>$F$10</x:f>
        <x:v>0.13157894736842105</x:v>
      </x:c>
      <x:c r="K28" s="34" t="n">
        <x:f>$G$10</x:f>
        <x:v>0.15789473684210525</x:v>
      </x:c>
      <x:c r="L28" s="34" t="n">
        <x:f>$H$10</x:f>
        <x:v>0.15789473684210525</x:v>
      </x:c>
      <x:c r="M28" s="34" t="n">
        <x:f>G28*J28</x:f>
        <x:v>0.1023391812865497</x:v>
      </x:c>
      <x:c r="N28" s="34" t="n">
        <x:f>H28*K28</x:f>
        <x:v>0.12280701754385964</x:v>
      </x:c>
      <x:c r="O28" s="34" t="n">
        <x:f>I28*L28</x:f>
        <x:v>0.14035087719298245</x:v>
      </x:c>
      <x:c r="P28" s="34" t="n">
        <x:f>SQRT(((M28-$B$41)^2+(N28-$B$41)^2+(O28-$B$41)^2)/3)</x:f>
        <x:v>0.03926556935376937</x:v>
      </x:c>
      <x:c r="Q28" s="34" t="n">
        <x:f>SQRT(((M28-$C$41)^2+(N28-$C$41)^2+(O28-$C$41)^2)/3)</x:f>
        <x:v>0.06522936796004727</x:v>
      </x:c>
    </x:row>
    <x:row r="29" ht="19" customHeight="1">
      <x:c r="A29" s="24" t="str">
        <x:v>A4</x:v>
      </x:c>
      <x:c r="B29" s="24" t="str">
        <x:v>K1</x:v>
      </x:c>
      <x:c r="C29" s="24" t="n">
        <x:f>'Оценки'!H25</x:f>
        <x:v>7</x:v>
      </x:c>
      <x:c r="D29" s="24" t="n">
        <x:f>'Оценки'!I25</x:f>
        <x:v>8</x:v>
      </x:c>
      <x:c r="E29" s="24" t="n">
        <x:f>'Оценки'!J25</x:f>
        <x:v>8</x:v>
      </x:c>
      <x:c r="F29" s="24" t="n">
        <x:f>$I$6</x:f>
        <x:v>9</x:v>
      </x:c>
      <x:c r="G29" s="36" t="n">
        <x:f>C29/F29</x:f>
        <x:v>0.7777777777777778</x:v>
      </x:c>
      <x:c r="H29" s="36" t="n">
        <x:f>D29/F29</x:f>
        <x:v>0.8888888888888888</x:v>
      </x:c>
      <x:c r="I29" s="36" t="n">
        <x:f>E29/F29</x:f>
        <x:v>0.8888888888888888</x:v>
      </x:c>
      <x:c r="J29" s="36" t="n">
        <x:f>$F$6</x:f>
        <x:v>0.21052631578947367</x:v>
      </x:c>
      <x:c r="K29" s="36" t="n">
        <x:f>$G$6</x:f>
        <x:v>0.23684210526315788</x:v>
      </x:c>
      <x:c r="L29" s="36" t="n">
        <x:f>$H$6</x:f>
        <x:v>0.23684210526315788</x:v>
      </x:c>
      <x:c r="M29" s="36" t="n">
        <x:f>G29*J29</x:f>
        <x:v>0.16374269005847952</x:v>
      </x:c>
      <x:c r="N29" s="36" t="n">
        <x:f>H29*K29</x:f>
        <x:v>0.21052631578947367</x:v>
      </x:c>
      <x:c r="O29" s="36" t="n">
        <x:f>I29*L29</x:f>
        <x:v>0.21052631578947367</x:v>
      </x:c>
      <x:c r="P29" s="36" t="n">
        <x:f>SQRT(((M29-$B$37)^2+(N29-$B$37)^2+(O29-$B$37)^2)/3)</x:f>
        <x:v>0.04735879381386488</x:v>
      </x:c>
      <x:c r="Q29" s="36" t="n">
        <x:f>SQRT(((M29-$C$37)^2+(N29-$C$37)^2+(O29-$C$37)^2)/3)</x:f>
        <x:v>0.05886810475844639</x:v>
      </x:c>
    </x:row>
    <x:row r="30" ht="19" customHeight="1">
      <x:c r="A30" s="6" t="str">
        <x:v>A4</x:v>
      </x:c>
      <x:c r="B30" s="6" t="str">
        <x:v>K2</x:v>
      </x:c>
      <x:c r="C30" s="6" t="n">
        <x:f>'Оценки'!H26</x:f>
        <x:v>5</x:v>
      </x:c>
      <x:c r="D30" s="6" t="n">
        <x:f>'Оценки'!I26</x:f>
        <x:v>6</x:v>
      </x:c>
      <x:c r="E30" s="6" t="n">
        <x:f>'Оценки'!J26</x:f>
        <x:v>6</x:v>
      </x:c>
      <x:c r="F30" s="6" t="n">
        <x:f>$I$7</x:f>
        <x:v>9</x:v>
      </x:c>
      <x:c r="G30" s="34" t="n">
        <x:f>C30/F30</x:f>
        <x:v>0.5555555555555556</x:v>
      </x:c>
      <x:c r="H30" s="34" t="n">
        <x:f>D30/F30</x:f>
        <x:v>0.6666666666666666</x:v>
      </x:c>
      <x:c r="I30" s="34" t="n">
        <x:f>E30/F30</x:f>
        <x:v>0.6666666666666666</x:v>
      </x:c>
      <x:c r="J30" s="34" t="n">
        <x:f>$F$7</x:f>
        <x:v>0.21052631578947367</x:v>
      </x:c>
      <x:c r="K30" s="34" t="n">
        <x:f>$G$7</x:f>
        <x:v>0.21052631578947367</x:v>
      </x:c>
      <x:c r="L30" s="34" t="n">
        <x:f>$H$7</x:f>
        <x:v>0.23684210526315788</x:v>
      </x:c>
      <x:c r="M30" s="34" t="n">
        <x:f>G30*J30</x:f>
        <x:v>0.11695906432748537</x:v>
      </x:c>
      <x:c r="N30" s="34" t="n">
        <x:f>H30*K30</x:f>
        <x:v>0.14035087719298245</x:v>
      </x:c>
      <x:c r="O30" s="34" t="n">
        <x:f>I30*L30</x:f>
        <x:v>0.15789473684210525</x:v>
      </x:c>
      <x:c r="P30" s="34" t="n">
        <x:f>SQRT(((M30-$B$38)^2+(N30-$B$38)^2+(O30-$B$38)^2)/3)</x:f>
        <x:v>0.0998585459188549</x:v>
      </x:c>
      <x:c r="Q30" s="34" t="n">
        <x:f>SQRT(((M30-$C$38)^2+(N30-$C$38)^2+(O30-$C$38)^2)/3)</x:f>
        <x:v>0.027220740826060314</x:v>
      </x:c>
    </x:row>
    <x:row r="31" ht="19" customHeight="1">
      <x:c r="A31" s="6" t="str">
        <x:v>A4</x:v>
      </x:c>
      <x:c r="B31" s="6" t="str">
        <x:v>K3</x:v>
      </x:c>
      <x:c r="C31" s="6" t="n">
        <x:f>'Оценки'!H27</x:f>
        <x:v>6</x:v>
      </x:c>
      <x:c r="D31" s="6" t="n">
        <x:f>'Оценки'!I27</x:f>
        <x:v>7</x:v>
      </x:c>
      <x:c r="E31" s="6" t="n">
        <x:f>'Оценки'!J27</x:f>
        <x:v>7</x:v>
      </x:c>
      <x:c r="F31" s="6" t="n">
        <x:f>$I$8</x:f>
        <x:v>9</x:v>
      </x:c>
      <x:c r="G31" s="34" t="n">
        <x:f>C31/F31</x:f>
        <x:v>0.6666666666666666</x:v>
      </x:c>
      <x:c r="H31" s="34" t="n">
        <x:f>D31/F31</x:f>
        <x:v>0.7777777777777778</x:v>
      </x:c>
      <x:c r="I31" s="34" t="n">
        <x:f>E31/F31</x:f>
        <x:v>0.7777777777777778</x:v>
      </x:c>
      <x:c r="J31" s="34" t="n">
        <x:f>$F$8</x:f>
        <x:v>0.18421052631578946</x:v>
      </x:c>
      <x:c r="K31" s="34" t="n">
        <x:f>$G$8</x:f>
        <x:v>0.21052631578947367</x:v>
      </x:c>
      <x:c r="L31" s="34" t="n">
        <x:f>$H$8</x:f>
        <x:v>0.21052631578947367</x:v>
      </x:c>
      <x:c r="M31" s="34" t="n">
        <x:f>G31*J31</x:f>
        <x:v>0.12280701754385964</x:v>
      </x:c>
      <x:c r="N31" s="34" t="n">
        <x:f>H31*K31</x:f>
        <x:v>0.16374269005847952</x:v>
      </x:c>
      <x:c r="O31" s="34" t="n">
        <x:f>I31*L31</x:f>
        <x:v>0.16374269005847952</x:v>
      </x:c>
      <x:c r="P31" s="34" t="n">
        <x:f>SQRT(((M31-$B$39)^2+(N31-$B$39)^2+(O31-$B$39)^2)/3)</x:f>
        <x:v>0.06343524403615196</x:v>
      </x:c>
      <x:c r="Q31" s="34" t="n">
        <x:f>SQRT(((M31-$C$39)^2+(N31-$C$39)^2+(O31-$C$39)^2)/3)</x:f>
        <x:v>0.03342383664616422</x:v>
      </x:c>
    </x:row>
    <x:row r="32" ht="19" customHeight="1">
      <x:c r="A32" s="6" t="str">
        <x:v>A4</x:v>
      </x:c>
      <x:c r="B32" s="6" t="str">
        <x:v>K4</x:v>
      </x:c>
      <x:c r="C32" s="6" t="n">
        <x:f>'Оценки'!H28</x:f>
        <x:v>6</x:v>
      </x:c>
      <x:c r="D32" s="6" t="n">
        <x:f>'Оценки'!I28</x:f>
        <x:v>7</x:v>
      </x:c>
      <x:c r="E32" s="6" t="n">
        <x:f>'Оценки'!J28</x:f>
        <x:v>7</x:v>
      </x:c>
      <x:c r="F32" s="6" t="n">
        <x:f>$I$9</x:f>
        <x:v>9</x:v>
      </x:c>
      <x:c r="G32" s="34" t="n">
        <x:f>C32/F32</x:f>
        <x:v>0.6666666666666666</x:v>
      </x:c>
      <x:c r="H32" s="34" t="n">
        <x:f>D32/F32</x:f>
        <x:v>0.7777777777777778</x:v>
      </x:c>
      <x:c r="I32" s="34" t="n">
        <x:f>E32/F32</x:f>
        <x:v>0.7777777777777778</x:v>
      </x:c>
      <x:c r="J32" s="34" t="n">
        <x:f>$F$9</x:f>
        <x:v>0.15789473684210525</x:v>
      </x:c>
      <x:c r="K32" s="34" t="n">
        <x:f>$G$9</x:f>
        <x:v>0.18421052631578946</x:v>
      </x:c>
      <x:c r="L32" s="34" t="n">
        <x:f>$H$9</x:f>
        <x:v>0.18421052631578946</x:v>
      </x:c>
      <x:c r="M32" s="34" t="n">
        <x:f>G32*J32</x:f>
        <x:v>0.10526315789473684</x:v>
      </x:c>
      <x:c r="N32" s="34" t="n">
        <x:f>H32*K32</x:f>
        <x:v>0.14327485380116958</x:v>
      </x:c>
      <x:c r="O32" s="34" t="n">
        <x:f>I32*L32</x:f>
        <x:v>0.14327485380116958</x:v>
      </x:c>
      <x:c r="P32" s="34" t="n">
        <x:f>SQRT(((M32-$B$40)^2+(N32-$B$40)^2+(O32-$B$40)^2)/3)</x:f>
        <x:v>0.05652181156880303</x:v>
      </x:c>
      <x:c r="Q32" s="34" t="n">
        <x:f>SQRT(((M32-$C$40)^2+(N32-$C$40)^2+(O32-$C$40)^2)/3)</x:f>
        <x:v>0.031036419742866778</x:v>
      </x:c>
    </x:row>
    <x:row r="33" ht="19" customHeight="1">
      <x:c r="A33" s="6" t="str">
        <x:v>A4</x:v>
      </x:c>
      <x:c r="B33" s="6" t="str">
        <x:v>K5</x:v>
      </x:c>
      <x:c r="C33" s="6" t="n">
        <x:f>'Оценки'!H29</x:f>
        <x:v>8</x:v>
      </x:c>
      <x:c r="D33" s="6" t="n">
        <x:f>'Оценки'!I29</x:f>
        <x:v>9</x:v>
      </x:c>
      <x:c r="E33" s="6" t="n">
        <x:f>'Оценки'!J29</x:f>
        <x:v>9</x:v>
      </x:c>
      <x:c r="F33" s="6" t="n">
        <x:f>$I$10</x:f>
        <x:v>9</x:v>
      </x:c>
      <x:c r="G33" s="34" t="n">
        <x:f>C33/F33</x:f>
        <x:v>0.8888888888888888</x:v>
      </x:c>
      <x:c r="H33" s="34" t="n">
        <x:f>D33/F33</x:f>
        <x:v>1</x:v>
      </x:c>
      <x:c r="I33" s="34" t="n">
        <x:f>E33/F33</x:f>
        <x:v>1</x:v>
      </x:c>
      <x:c r="J33" s="34" t="n">
        <x:f>$F$10</x:f>
        <x:v>0.13157894736842105</x:v>
      </x:c>
      <x:c r="K33" s="34" t="n">
        <x:f>$G$10</x:f>
        <x:v>0.15789473684210525</x:v>
      </x:c>
      <x:c r="L33" s="34" t="n">
        <x:f>$H$10</x:f>
        <x:v>0.15789473684210525</x:v>
      </x:c>
      <x:c r="M33" s="34" t="n">
        <x:f>G33*J33</x:f>
        <x:v>0.11695906432748537</x:v>
      </x:c>
      <x:c r="N33" s="34" t="n">
        <x:f>H33*K33</x:f>
        <x:v>0.15789473684210525</x:v>
      </x:c>
      <x:c r="O33" s="34" t="n">
        <x:f>I33*L33</x:f>
        <x:v>0.15789473684210525</x:v>
      </x:c>
      <x:c r="P33" s="34" t="n">
        <x:f>SQRT(((M33-$B$41)^2+(N33-$B$41)^2+(O33-$B$41)^2)/3)</x:f>
        <x:v>0.023634221545774152</x:v>
      </x:c>
      <x:c r="Q33" s="34" t="n">
        <x:f>SQRT(((M33-$C$41)^2+(N33-$C$41)^2+(O33-$C$41)^2)/3)</x:f>
        <x:v>0.08791401390861349</x:v>
      </x:c>
    </x:row>
    <x:row r="34" ht="19" customHeight="1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  <x:c r="Q34" s="6"/>
    </x:row>
    <x:row r="35" ht="26" customHeight="1">
      <x:c r="A35" s="25" t="str">
        <x:v>3. FPIS/FNIS — положительный и отрицательный идеалы по каждому критерию</x:v>
      </x:c>
      <x:c r="B35" s="25"/>
      <x:c r="C35" s="25"/>
      <x:c r="D35" s="25"/>
      <x:c r="E35" s="25"/>
      <x:c r="F35" s="25"/>
      <x:c r="G35" s="25"/>
      <x:c r="H35" s="25"/>
      <x:c r="I35" s="25"/>
      <x:c r="J35" s="25"/>
      <x:c r="K35" s="25"/>
      <x:c r="L35" s="25"/>
      <x:c r="M35" s="25"/>
      <x:c r="N35" s="25"/>
      <x:c r="O35" s="25"/>
      <x:c r="P35" s="25"/>
      <x:c r="Q35" s="25"/>
    </x:row>
    <x:row r="36" ht="30" customHeight="1">
      <x:c r="A36" s="17" t="str">
        <x:v>Критерий</x:v>
      </x:c>
      <x:c r="B36" s="17" t="str">
        <x:v>Идеал +: max v(u)</x:v>
      </x:c>
      <x:c r="C36" s="17" t="str">
        <x:v>Идеал −: min v(l)</x:v>
      </x:c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  <x:c r="Q36" s="6"/>
    </x:row>
    <x:row r="37" ht="19" customHeight="1">
      <x:c r="A37" s="6" t="str">
        <x:v>K1</x:v>
      </x:c>
      <x:c r="B37" s="34" t="n">
        <x:f>MAX(O14,O19,O24,O29)</x:f>
        <x:v>0.23684210526315788</x:v>
      </x:c>
      <x:c r="C37" s="34" t="n">
        <x:f>MIN(M14,M19,M24,M29)</x:f>
        <x:v>0.14035087719298245</x:v>
      </x:c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  <x:c r="Q37" s="6"/>
    </x:row>
    <x:row r="38" ht="19" customHeight="1">
      <x:c r="A38" s="6" t="str">
        <x:v>K2</x:v>
      </x:c>
      <x:c r="B38" s="34" t="n">
        <x:f>MAX(O15,O20,O25,O30)</x:f>
        <x:v>0.23684210526315788</x:v>
      </x:c>
      <x:c r="C38" s="34" t="n">
        <x:f>MIN(M15,M20,M25,M30)</x:f>
        <x:v>0.11695906432748537</x:v>
      </x:c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  <x:c r="Q38" s="6"/>
    </x:row>
    <x:row r="39" ht="19" customHeight="1">
      <x:c r="A39" s="6" t="str">
        <x:v>K3</x:v>
      </x:c>
      <x:c r="B39" s="34" t="n">
        <x:f>MAX(O16,O21,O26,O31)</x:f>
        <x:v>0.21052631578947367</x:v>
      </x:c>
      <x:c r="C39" s="34" t="n">
        <x:f>MIN(M16,M21,M26,M31)</x:f>
        <x:v>0.12280701754385964</x:v>
      </x:c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  <x:c r="Q39" s="6"/>
    </x:row>
    <x:row r="40" ht="19" customHeight="1">
      <x:c r="A40" s="6" t="str">
        <x:v>K4</x:v>
      </x:c>
      <x:c r="B40" s="34" t="n">
        <x:f>MAX(O17,O22,O27,O32)</x:f>
        <x:v>0.18421052631578946</x:v>
      </x:c>
      <x:c r="C40" s="34" t="n">
        <x:f>MIN(M17,M22,M27,M32)</x:f>
        <x:v>0.10526315789473684</x:v>
      </x:c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  <x:c r="Q40" s="6"/>
    </x:row>
    <x:row r="41" ht="19" customHeight="1">
      <x:c r="A41" s="6" t="str">
        <x:v>K5</x:v>
      </x:c>
      <x:c r="B41" s="34" t="n">
        <x:f>MAX(O18,O23,O28,O33)</x:f>
        <x:v>0.15789473684210525</x:v>
      </x:c>
      <x:c r="C41" s="34" t="n">
        <x:f>MIN(M18,M23,M28,M33)</x:f>
        <x:v>0.05847953216374269</x:v>
      </x:c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  <x:c r="Q41" s="6"/>
    </x:row>
    <x:row r="42" ht="19" customHeight="1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  <x:c r="Q42" s="6"/>
    </x:row>
    <x:row r="43" ht="26" customHeight="1">
      <x:c r="A43" s="25" t="str">
        <x:v>4. Итог: d+ / d− / коэффициент близости</x:v>
      </x:c>
      <x:c r="B43" s="25"/>
      <x:c r="C43" s="25"/>
      <x:c r="D43" s="25"/>
      <x:c r="E43" s="25"/>
      <x:c r="F43" s="25"/>
      <x:c r="G43" s="25"/>
      <x:c r="H43" s="25"/>
      <x:c r="I43" s="25"/>
      <x:c r="J43" s="25"/>
      <x:c r="K43" s="25"/>
      <x:c r="L43" s="25"/>
      <x:c r="M43" s="25"/>
      <x:c r="N43" s="25"/>
      <x:c r="O43" s="25"/>
      <x:c r="P43" s="25"/>
      <x:c r="Q43" s="25"/>
    </x:row>
    <x:row r="44" ht="30" customHeight="1">
      <x:c r="A44" s="17" t="str">
        <x:v>Альтернатива</x:v>
      </x:c>
      <x:c r="B44" s="17" t="str">
        <x:v>Концепция</x:v>
      </x:c>
      <x:c r="C44" s="17" t="str">
        <x:v>d+</x:v>
      </x:c>
      <x:c r="D44" s="17" t="str">
        <x:v>d−</x:v>
      </x:c>
      <x:c r="E44" s="17" t="str">
        <x:v>CC=d−/(d++d−)</x:v>
      </x:c>
      <x:c r="F44" s="17" t="str">
        <x:v>Место</x:v>
      </x:c>
      <x:c r="G44" s="6"/>
      <x:c r="H44" s="6"/>
      <x:c r="I44" s="6"/>
      <x:c r="J44" s="6"/>
      <x:c r="K44" s="6"/>
      <x:c r="L44" s="6"/>
      <x:c r="M44" s="6"/>
      <x:c r="N44" s="6"/>
      <x:c r="O44" s="6"/>
      <x:c r="P44" s="6"/>
      <x:c r="Q44" s="6"/>
    </x:row>
    <x:row r="45" ht="19" customHeight="1">
      <x:c r="A45" s="32" t="str">
        <x:v>A1</x:v>
      </x:c>
      <x:c r="B45" s="32" t="str">
        <x:v>StudyFlow</x:v>
      </x:c>
      <x:c r="C45" s="38" t="n">
        <x:f>SUM(P14:P18)</x:f>
        <x:v>0.2200863374484977</x:v>
      </x:c>
      <x:c r="D45" s="38" t="n">
        <x:f>SUM(Q14:Q18)</x:f>
        <x:v>0.3132119131795209</x:v>
      </x:c>
      <x:c r="E45" s="38" t="n">
        <x:f>D45/(C45+D45)</x:f>
        <x:v>0.5873109705698053</x:v>
      </x:c>
      <x:c r="F45" s="32" t="n">
        <x:f>RANK(E45,$E$45:$E$48,0)</x:f>
        <x:v>2</x:v>
      </x:c>
      <x:c r="G45" s="6"/>
      <x:c r="H45" s="6"/>
      <x:c r="I45" s="6"/>
      <x:c r="J45" s="6"/>
      <x:c r="K45" s="6"/>
      <x:c r="L45" s="6"/>
      <x:c r="M45" s="6"/>
      <x:c r="N45" s="6"/>
      <x:c r="O45" s="6"/>
      <x:c r="P45" s="6"/>
      <x:c r="Q45" s="6"/>
    </x:row>
    <x:row r="46" ht="19" customHeight="1">
      <x:c r="A46" s="32" t="str">
        <x:v>A2</x:v>
      </x:c>
      <x:c r="B46" s="32" t="str">
        <x:v>CampusEvents</x:v>
      </x:c>
      <x:c r="C46" s="38" t="n">
        <x:f>SUM(P19:P23)</x:f>
        <x:v>0.1599955206612504</x:v>
      </x:c>
      <x:c r="D46" s="38" t="n">
        <x:f>SUM(Q19:Q23)</x:f>
        <x:v>0.38066637621056304</x:v>
      </x:c>
      <x:c r="E46" s="38" t="n">
        <x:f>D46/(C46+D46)</x:f>
        <x:v>0.7040747247273021</x:v>
      </x:c>
      <x:c r="F46" s="32" t="n">
        <x:f>RANK(E46,$E$45:$E$48,0)</x:f>
        <x:v>1</x:v>
      </x:c>
      <x:c r="G46" s="6"/>
      <x:c r="H46" s="6"/>
      <x:c r="I46" s="6"/>
      <x:c r="J46" s="6"/>
      <x:c r="K46" s="6"/>
      <x:c r="L46" s="6"/>
      <x:c r="M46" s="6"/>
      <x:c r="N46" s="6"/>
      <x:c r="O46" s="6"/>
      <x:c r="P46" s="6"/>
      <x:c r="Q46" s="6"/>
    </x:row>
    <x:row r="47" ht="19" customHeight="1">
      <x:c r="A47" s="32" t="str">
        <x:v>A3</x:v>
      </x:c>
      <x:c r="B47" s="32" t="str">
        <x:v>BookSwap</x:v>
      </x:c>
      <x:c r="C47" s="38" t="n">
        <x:f>SUM(P24:P28)</x:f>
        <x:v>0.23267343134891774</x:v>
      </x:c>
      <x:c r="D47" s="38" t="n">
        <x:f>SUM(Q24:Q28)</x:f>
        <x:v>0.2935414160248383</x:v>
      </x:c>
      <x:c r="E47" s="38" t="n">
        <x:f>D47/(C47+D47)</x:f>
        <x:v>0.5578356777461733</x:v>
      </x:c>
      <x:c r="F47" s="32" t="n">
        <x:f>RANK(E47,$E$45:$E$48,0)</x:f>
        <x:v>3</x:v>
      </x:c>
      <x:c r="G47" s="6"/>
      <x:c r="H47" s="6"/>
      <x:c r="I47" s="6"/>
      <x:c r="J47" s="6"/>
      <x:c r="K47" s="6"/>
      <x:c r="L47" s="6"/>
      <x:c r="M47" s="6"/>
      <x:c r="N47" s="6"/>
      <x:c r="O47" s="6"/>
      <x:c r="P47" s="6"/>
      <x:c r="Q47" s="6"/>
    </x:row>
    <x:row r="48" ht="19" customHeight="1">
      <x:c r="A48" s="32" t="str">
        <x:v>A4</x:v>
      </x:c>
      <x:c r="B48" s="32" t="str">
        <x:v>SkillBridge</x:v>
      </x:c>
      <x:c r="C48" s="38" t="n">
        <x:f>SUM(P29:P33)</x:f>
        <x:v>0.29080861688344894</x:v>
      </x:c>
      <x:c r="D48" s="38" t="n">
        <x:f>SUM(Q29:Q33)</x:f>
        <x:v>0.2384631158821512</x:v>
      </x:c>
      <x:c r="E48" s="38" t="n">
        <x:f>D48/(C48+D48)</x:f>
        <x:v>0.4505495024948932</x:v>
      </x:c>
      <x:c r="F48" s="32" t="n">
        <x:f>RANK(E48,$E$45:$E$48,0)</x:f>
        <x:v>4</x:v>
      </x:c>
      <x:c r="G48" s="6"/>
      <x:c r="H48" s="6"/>
      <x:c r="I48" s="6"/>
      <x:c r="J48" s="6"/>
      <x:c r="K48" s="6"/>
      <x:c r="L48" s="6"/>
      <x:c r="M48" s="6"/>
      <x:c r="N48" s="6"/>
      <x:c r="O48" s="6"/>
      <x:c r="P48" s="6"/>
      <x:c r="Q48" s="6"/>
    </x:row>
    <x:row r="49" ht="19" customHeight="1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  <x:c r="Q49" s="6"/>
    </x:row>
    <x:row r="50" ht="19" customHeight="1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  <x:c r="Q50" s="6"/>
    </x:row>
    <x:row r="51" ht="19" customHeight="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  <x:c r="Q51" s="6"/>
    </x:row>
    <x:row r="52" ht="19" customHeight="1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  <x:c r="Q52" s="6"/>
    </x:row>
    <x:row r="53" ht="19" customHeight="1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  <x:c r="Q53" s="6"/>
    </x:row>
    <x:row r="54" ht="19" customHeight="1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  <x:c r="Q54" s="6"/>
    </x:row>
    <x:row r="55" ht="19" customHeight="1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  <x:c r="Q55" s="6"/>
    </x:row>
    <x:row r="56" ht="19" customHeight="1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  <x:c r="Q56" s="6"/>
    </x:row>
    <x:row r="57" ht="19" customHeight="1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  <x:c r="Q57" s="6"/>
    </x:row>
    <x:row r="58" ht="19" customHeight="1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  <x:c r="Q58" s="6"/>
    </x:row>
    <x:row r="59" ht="19" customHeight="1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  <x:c r="Q59" s="6"/>
    </x:row>
    <x:row r="60" ht="19" customHeight="1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  <x:c r="Q60" s="6"/>
    </x:row>
    <x:row r="61" ht="19" customHeight="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  <x:c r="Q61" s="6"/>
    </x:row>
    <x:row r="62" ht="19" customHeight="1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  <x:c r="Q62" s="6"/>
    </x:row>
    <x:row r="63" ht="19" customHeight="1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  <x:c r="Q63" s="6"/>
    </x:row>
    <x:row r="64" ht="19" customHeight="1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  <x:c r="Q64" s="6"/>
    </x:row>
    <x:row r="65" ht="19" customHeight="1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</x:row>
    <x:row r="66" ht="19" customHeight="1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  <x:c r="Q66" s="6"/>
    </x:row>
    <x:row r="67" ht="19" customHeight="1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  <x:c r="Q67" s="6"/>
    </x:row>
    <x:row r="68" ht="19" customHeight="1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  <x:c r="Q68" s="6"/>
    </x:row>
    <x:row r="69" ht="19" customHeight="1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  <x:c r="Q69" s="6"/>
    </x:row>
    <x:row r="70" ht="19" customHeight="1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</x:row>
    <x:row r="71" ht="19" customHeight="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  <x:c r="Q71" s="6"/>
    </x:row>
    <x:row r="72" ht="19" customHeight="1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  <x:c r="Q72" s="6"/>
    </x:row>
    <x:row r="73" ht="19" customHeight="1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  <x:c r="Q73" s="6"/>
    </x:row>
    <x:row r="74" ht="19" customHeight="1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  <x:c r="Q74" s="6"/>
    </x:row>
    <x:row r="75" ht="19" customHeight="1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  <x:c r="Q75" s="6"/>
    </x:row>
    <x:row r="76" ht="19" customHeight="1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  <x:c r="Q76" s="6"/>
    </x:row>
    <x:row r="77" ht="19" customHeight="1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  <x:c r="Q77" s="6"/>
    </x:row>
    <x:row r="78" ht="19" customHeight="1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  <x:c r="Q78" s="6"/>
    </x:row>
    <x:row r="79" ht="19" customHeight="1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  <x:c r="Q79" s="6"/>
    </x:row>
    <x:row r="80" ht="19" customHeight="1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  <x:c r="Q80" s="6"/>
    </x:row>
    <x:row r="81" ht="19" customHeight="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  <x:c r="Q81" s="6"/>
    </x:row>
    <x:row r="82" ht="19" customHeight="1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  <x:c r="Q82" s="6"/>
    </x:row>
    <x:row r="83" ht="19" customHeight="1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  <x:c r="Q83" s="6"/>
    </x:row>
    <x:row r="84" ht="19" customHeight="1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  <x:c r="Q84" s="6"/>
    </x:row>
    <x:row r="85" ht="19" customHeight="1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</x:row>
    <x:row r="86" ht="19" customHeight="1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  <x:c r="Q86" s="6"/>
    </x:row>
    <x:row r="87" ht="19" customHeight="1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  <x:c r="Q87" s="6"/>
    </x:row>
    <x:row r="88" ht="19" customHeight="1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  <x:c r="Q88" s="6"/>
    </x:row>
    <x:row r="89" ht="19" customHeight="1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  <x:c r="Q89" s="6"/>
    </x:row>
    <x:row r="90" ht="19" customHeight="1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  <x:c r="Q90" s="6"/>
    </x:row>
    <x:row r="91" ht="19" customHeight="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  <x:c r="Q91" s="6"/>
    </x:row>
    <x:row r="92" ht="19" customHeight="1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  <x:c r="Q92" s="6"/>
    </x:row>
    <x:row r="93" ht="19" customHeight="1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  <x:c r="Q93" s="6"/>
    </x:row>
    <x:row r="94" ht="19" customHeight="1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  <x:c r="Q94" s="6"/>
    </x:row>
    <x:row r="95" ht="19" customHeight="1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  <x:c r="Q95" s="6"/>
    </x:row>
    <x:row r="96" ht="19" customHeight="1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  <x:c r="Q96" s="6"/>
    </x:row>
    <x:row r="97" ht="19" customHeight="1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  <x:c r="Q97" s="6"/>
    </x:row>
    <x:row r="98" ht="19" customHeight="1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  <x:c r="Q98" s="6"/>
    </x:row>
    <x:row r="99" ht="19" customHeight="1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  <x:c r="Q99" s="6"/>
    </x:row>
    <x:row r="100" ht="19" customHeight="1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  <x:c r="Q100" s="6"/>
    </x:row>
    <x:row r="101" ht="19" customHeight="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  <x:c r="L101" s="6"/>
      <x:c r="M101" s="6"/>
      <x:c r="N101" s="6"/>
      <x:c r="O101" s="6"/>
      <x:c r="P101" s="6"/>
      <x:c r="Q101" s="6"/>
    </x:row>
    <x:row r="102" ht="19" customHeight="1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  <x:c r="M102" s="6"/>
      <x:c r="N102" s="6"/>
      <x:c r="O102" s="6"/>
      <x:c r="P102" s="6"/>
      <x:c r="Q102" s="6"/>
    </x:row>
    <x:row r="103" ht="19" customHeight="1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  <x:c r="L103" s="6"/>
      <x:c r="M103" s="6"/>
      <x:c r="N103" s="6"/>
      <x:c r="O103" s="6"/>
      <x:c r="P103" s="6"/>
      <x:c r="Q103" s="6"/>
    </x:row>
    <x:row r="104" ht="19" customHeight="1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  <x:c r="M104" s="6"/>
      <x:c r="N104" s="6"/>
      <x:c r="O104" s="6"/>
      <x:c r="P104" s="6"/>
      <x:c r="Q104" s="6"/>
    </x:row>
    <x:row r="105" ht="19" customHeight="1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  <x:c r="M105" s="6"/>
      <x:c r="N105" s="6"/>
      <x:c r="O105" s="6"/>
      <x:c r="P105" s="6"/>
      <x:c r="Q105" s="6"/>
    </x:row>
    <x:row r="106" ht="19" customHeight="1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  <x:c r="M106" s="6"/>
      <x:c r="N106" s="6"/>
      <x:c r="O106" s="6"/>
      <x:c r="P106" s="6"/>
      <x:c r="Q106" s="6"/>
    </x:row>
    <x:row r="107" ht="19" customHeight="1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  <x:c r="M107" s="6"/>
      <x:c r="N107" s="6"/>
      <x:c r="O107" s="6"/>
      <x:c r="P107" s="6"/>
      <x:c r="Q107" s="6"/>
    </x:row>
    <x:row r="108" ht="19" customHeight="1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  <x:c r="M108" s="6"/>
      <x:c r="N108" s="6"/>
      <x:c r="O108" s="6"/>
      <x:c r="P108" s="6"/>
      <x:c r="Q108" s="6"/>
    </x:row>
    <x:row r="109" ht="19" customHeight="1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  <x:c r="L109" s="6"/>
      <x:c r="M109" s="6"/>
      <x:c r="N109" s="6"/>
      <x:c r="O109" s="6"/>
      <x:c r="P109" s="6"/>
      <x:c r="Q109" s="6"/>
    </x:row>
    <x:row r="110" ht="19" customHeight="1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  <x:c r="L110" s="6"/>
      <x:c r="M110" s="6"/>
      <x:c r="N110" s="6"/>
      <x:c r="O110" s="6"/>
      <x:c r="P110" s="6"/>
      <x:c r="Q110" s="6"/>
    </x:row>
    <x:row r="111" ht="19" customHeight="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  <x:c r="L111" s="6"/>
      <x:c r="M111" s="6"/>
      <x:c r="N111" s="6"/>
      <x:c r="O111" s="6"/>
      <x:c r="P111" s="6"/>
      <x:c r="Q111" s="6"/>
    </x:row>
    <x:row r="112" ht="19" customHeight="1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  <x:c r="L112" s="6"/>
      <x:c r="M112" s="6"/>
      <x:c r="N112" s="6"/>
      <x:c r="O112" s="6"/>
      <x:c r="P112" s="6"/>
      <x:c r="Q112" s="6"/>
    </x:row>
    <x:row r="113" ht="19" customHeight="1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  <x:c r="L113" s="6"/>
      <x:c r="M113" s="6"/>
      <x:c r="N113" s="6"/>
      <x:c r="O113" s="6"/>
      <x:c r="P113" s="6"/>
      <x:c r="Q113" s="6"/>
    </x:row>
    <x:row r="114" ht="19" customHeight="1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  <x:c r="L114" s="6"/>
      <x:c r="M114" s="6"/>
      <x:c r="N114" s="6"/>
      <x:c r="O114" s="6"/>
      <x:c r="P114" s="6"/>
      <x:c r="Q114" s="6"/>
    </x:row>
    <x:row r="115" ht="19" customHeight="1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  <x:c r="M115" s="6"/>
      <x:c r="N115" s="6"/>
      <x:c r="O115" s="6"/>
      <x:c r="P115" s="6"/>
      <x:c r="Q115" s="6"/>
    </x:row>
    <x:row r="116" ht="19" customHeight="1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  <x:c r="L116" s="6"/>
      <x:c r="M116" s="6"/>
      <x:c r="N116" s="6"/>
      <x:c r="O116" s="6"/>
      <x:c r="P116" s="6"/>
      <x:c r="Q116" s="6"/>
    </x:row>
    <x:row r="117" ht="19" customHeight="1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  <x:c r="M117" s="6"/>
      <x:c r="N117" s="6"/>
      <x:c r="O117" s="6"/>
      <x:c r="P117" s="6"/>
      <x:c r="Q117" s="6"/>
    </x:row>
    <x:row r="118" ht="19" customHeight="1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  <x:c r="M118" s="6"/>
      <x:c r="N118" s="6"/>
      <x:c r="O118" s="6"/>
      <x:c r="P118" s="6"/>
      <x:c r="Q118" s="6"/>
    </x:row>
    <x:row r="119" ht="19" customHeight="1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  <x:c r="M119" s="6"/>
      <x:c r="N119" s="6"/>
      <x:c r="O119" s="6"/>
      <x:c r="P119" s="6"/>
      <x:c r="Q119" s="6"/>
    </x:row>
    <x:row r="120" ht="19" customHeight="1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  <x:c r="M120" s="6"/>
      <x:c r="N120" s="6"/>
      <x:c r="O120" s="6"/>
      <x:c r="P120" s="6"/>
      <x:c r="Q120" s="6"/>
    </x:row>
    <x:row r="121" ht="19" customHeight="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  <x:c r="M121" s="6"/>
      <x:c r="N121" s="6"/>
      <x:c r="O121" s="6"/>
      <x:c r="P121" s="6"/>
      <x:c r="Q121" s="6"/>
    </x:row>
    <x:row r="122" ht="19" customHeight="1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  <x:c r="L122" s="6"/>
      <x:c r="M122" s="6"/>
      <x:c r="N122" s="6"/>
      <x:c r="O122" s="6"/>
      <x:c r="P122" s="6"/>
      <x:c r="Q122" s="6"/>
    </x:row>
    <x:row r="123" ht="19" customHeight="1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  <x:c r="L123" s="6"/>
      <x:c r="M123" s="6"/>
      <x:c r="N123" s="6"/>
      <x:c r="O123" s="6"/>
      <x:c r="P123" s="6"/>
      <x:c r="Q123" s="6"/>
    </x:row>
    <x:row r="124" ht="19" customHeight="1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  <x:c r="L124" s="6"/>
      <x:c r="M124" s="6"/>
      <x:c r="N124" s="6"/>
      <x:c r="O124" s="6"/>
      <x:c r="P124" s="6"/>
      <x:c r="Q124" s="6"/>
    </x:row>
    <x:row r="125" ht="19" customHeight="1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  <x:c r="L125" s="6"/>
      <x:c r="M125" s="6"/>
      <x:c r="N125" s="6"/>
      <x:c r="O125" s="6"/>
      <x:c r="P125" s="6"/>
      <x:c r="Q125" s="6"/>
    </x:row>
    <x:row r="126" ht="19" customHeight="1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  <x:c r="L126" s="6"/>
      <x:c r="M126" s="6"/>
      <x:c r="N126" s="6"/>
      <x:c r="O126" s="6"/>
      <x:c r="P126" s="6"/>
      <x:c r="Q126" s="6"/>
    </x:row>
    <x:row r="127" ht="19" customHeight="1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  <x:c r="L127" s="6"/>
      <x:c r="M127" s="6"/>
      <x:c r="N127" s="6"/>
      <x:c r="O127" s="6"/>
      <x:c r="P127" s="6"/>
      <x:c r="Q127" s="6"/>
    </x:row>
    <x:row r="128" ht="19" customHeight="1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  <x:c r="M128" s="6"/>
      <x:c r="N128" s="6"/>
      <x:c r="O128" s="6"/>
      <x:c r="P128" s="6"/>
      <x:c r="Q128" s="6"/>
    </x:row>
    <x:row r="129" ht="19" customHeight="1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  <x:c r="L129" s="6"/>
      <x:c r="M129" s="6"/>
      <x:c r="N129" s="6"/>
      <x:c r="O129" s="6"/>
      <x:c r="P129" s="6"/>
      <x:c r="Q129" s="6"/>
    </x:row>
    <x:row r="130" ht="19" customHeight="1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  <x:c r="M130" s="6"/>
      <x:c r="N130" s="6"/>
      <x:c r="O130" s="6"/>
      <x:c r="P130" s="6"/>
      <x:c r="Q130" s="6"/>
    </x:row>
    <x:row r="131" ht="19" customHeight="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  <x:c r="M131" s="6"/>
      <x:c r="N131" s="6"/>
      <x:c r="O131" s="6"/>
      <x:c r="P131" s="6"/>
      <x:c r="Q131" s="6"/>
    </x:row>
    <x:row r="132" ht="19" customHeight="1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  <x:c r="M132" s="6"/>
      <x:c r="N132" s="6"/>
      <x:c r="O132" s="6"/>
      <x:c r="P132" s="6"/>
      <x:c r="Q132" s="6"/>
    </x:row>
    <x:row r="133" ht="19" customHeight="1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  <x:c r="M133" s="6"/>
      <x:c r="N133" s="6"/>
      <x:c r="O133" s="6"/>
      <x:c r="P133" s="6"/>
      <x:c r="Q133" s="6"/>
    </x:row>
    <x:row r="134" ht="19" customHeight="1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  <x:c r="M134" s="6"/>
      <x:c r="N134" s="6"/>
      <x:c r="O134" s="6"/>
      <x:c r="P134" s="6"/>
      <x:c r="Q134" s="6"/>
    </x:row>
    <x:row r="135" ht="19" customHeight="1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  <x:c r="M135" s="6"/>
      <x:c r="N135" s="6"/>
      <x:c r="O135" s="6"/>
      <x:c r="P135" s="6"/>
      <x:c r="Q135" s="6"/>
    </x:row>
    <x:row r="136" ht="19" customHeight="1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  <x:c r="M136" s="6"/>
      <x:c r="N136" s="6"/>
      <x:c r="O136" s="6"/>
      <x:c r="P136" s="6"/>
      <x:c r="Q136" s="6"/>
    </x:row>
    <x:row r="137" ht="19" customHeight="1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  <x:c r="M137" s="6"/>
      <x:c r="N137" s="6"/>
      <x:c r="O137" s="6"/>
      <x:c r="P137" s="6"/>
      <x:c r="Q137" s="6"/>
    </x:row>
    <x:row r="138" ht="19" customHeight="1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  <x:c r="M138" s="6"/>
      <x:c r="N138" s="6"/>
      <x:c r="O138" s="6"/>
      <x:c r="P138" s="6"/>
      <x:c r="Q138" s="6"/>
    </x:row>
    <x:row r="139" ht="19" customHeight="1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  <x:c r="N139" s="6"/>
      <x:c r="O139" s="6"/>
      <x:c r="P139" s="6"/>
      <x:c r="Q139" s="6"/>
    </x:row>
    <x:row r="140" ht="19" customHeight="1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  <x:c r="M140" s="6"/>
      <x:c r="N140" s="6"/>
      <x:c r="O140" s="6"/>
      <x:c r="P140" s="6"/>
      <x:c r="Q140" s="6"/>
    </x:row>
    <x:row r="141" ht="19" customHeight="1">
      <x:c r="A141" s="6"/>
      <x:c r="B141" s="6"/>
      <x:c r="C141" s="6"/>
      <x:c r="D141" s="6"/>
      <x:c r="E141" s="6"/>
      <x:c r="F141" s="6"/>
      <x:c r="G141" s="6"/>
      <x:c r="H141" s="6"/>
      <x:c r="I141" s="6"/>
      <x:c r="J141" s="6"/>
      <x:c r="K141" s="6"/>
      <x:c r="L141" s="6"/>
      <x:c r="M141" s="6"/>
      <x:c r="N141" s="6"/>
      <x:c r="O141" s="6"/>
      <x:c r="P141" s="6"/>
      <x:c r="Q141" s="6"/>
    </x:row>
    <x:row r="142" ht="19" customHeight="1">
      <x:c r="A142" s="6"/>
      <x:c r="B142" s="6"/>
      <x:c r="C142" s="6"/>
      <x:c r="D142" s="6"/>
      <x:c r="E142" s="6"/>
      <x:c r="F142" s="6"/>
      <x:c r="G142" s="6"/>
      <x:c r="H142" s="6"/>
      <x:c r="I142" s="6"/>
      <x:c r="J142" s="6"/>
      <x:c r="K142" s="6"/>
      <x:c r="L142" s="6"/>
      <x:c r="M142" s="6"/>
      <x:c r="N142" s="6"/>
      <x:c r="O142" s="6"/>
      <x:c r="P142" s="6"/>
      <x:c r="Q142" s="6"/>
    </x:row>
    <x:row r="143" ht="19" customHeight="1">
      <x:c r="A143" s="6"/>
      <x:c r="B143" s="6"/>
      <x:c r="C143" s="6"/>
      <x:c r="D143" s="6"/>
      <x:c r="E143" s="6"/>
      <x:c r="F143" s="6"/>
      <x:c r="G143" s="6"/>
      <x:c r="H143" s="6"/>
      <x:c r="I143" s="6"/>
      <x:c r="J143" s="6"/>
      <x:c r="K143" s="6"/>
      <x:c r="L143" s="6"/>
      <x:c r="M143" s="6"/>
      <x:c r="N143" s="6"/>
      <x:c r="O143" s="6"/>
      <x:c r="P143" s="6"/>
      <x:c r="Q143" s="6"/>
    </x:row>
    <x:row r="144" ht="19" customHeight="1">
      <x:c r="A144" s="6"/>
      <x:c r="B144" s="6"/>
      <x:c r="C144" s="6"/>
      <x:c r="D144" s="6"/>
      <x:c r="E144" s="6"/>
      <x:c r="F144" s="6"/>
      <x:c r="G144" s="6"/>
      <x:c r="H144" s="6"/>
      <x:c r="I144" s="6"/>
      <x:c r="J144" s="6"/>
      <x:c r="K144" s="6"/>
      <x:c r="L144" s="6"/>
      <x:c r="M144" s="6"/>
      <x:c r="N144" s="6"/>
      <x:c r="O144" s="6"/>
      <x:c r="P144" s="6"/>
      <x:c r="Q144" s="6"/>
    </x:row>
    <x:row r="145" ht="19" customHeight="1">
      <x:c r="A145" s="6"/>
      <x:c r="B145" s="6"/>
      <x:c r="C145" s="6"/>
      <x:c r="D145" s="6"/>
      <x:c r="E145" s="6"/>
      <x:c r="F145" s="6"/>
      <x:c r="G145" s="6"/>
      <x:c r="H145" s="6"/>
      <x:c r="I145" s="6"/>
      <x:c r="J145" s="6"/>
      <x:c r="K145" s="6"/>
      <x:c r="L145" s="6"/>
      <x:c r="M145" s="6"/>
      <x:c r="N145" s="6"/>
      <x:c r="O145" s="6"/>
      <x:c r="P145" s="6"/>
      <x:c r="Q145" s="6"/>
    </x:row>
    <x:row r="146" ht="19" customHeight="1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  <x:c r="K146" s="6"/>
      <x:c r="L146" s="6"/>
      <x:c r="M146" s="6"/>
      <x:c r="N146" s="6"/>
      <x:c r="O146" s="6"/>
      <x:c r="P146" s="6"/>
      <x:c r="Q146" s="6"/>
    </x:row>
    <x:row r="147" ht="19" customHeight="1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  <x:c r="K147" s="6"/>
      <x:c r="L147" s="6"/>
      <x:c r="M147" s="6"/>
      <x:c r="N147" s="6"/>
      <x:c r="O147" s="6"/>
      <x:c r="P147" s="6"/>
      <x:c r="Q147" s="6"/>
    </x:row>
    <x:row r="148" ht="19" customHeight="1">
      <x:c r="A148" s="6"/>
      <x:c r="B148" s="6"/>
      <x:c r="C148" s="6"/>
      <x:c r="D148" s="6"/>
      <x:c r="E148" s="6"/>
      <x:c r="F148" s="6"/>
      <x:c r="G148" s="6"/>
      <x:c r="H148" s="6"/>
      <x:c r="I148" s="6"/>
      <x:c r="J148" s="6"/>
      <x:c r="K148" s="6"/>
      <x:c r="L148" s="6"/>
      <x:c r="M148" s="6"/>
      <x:c r="N148" s="6"/>
      <x:c r="O148" s="6"/>
      <x:c r="P148" s="6"/>
      <x:c r="Q148" s="6"/>
    </x:row>
    <x:row r="149" ht="19" customHeight="1">
      <x:c r="A149" s="6"/>
      <x:c r="B149" s="6"/>
      <x:c r="C149" s="6"/>
      <x:c r="D149" s="6"/>
      <x:c r="E149" s="6"/>
      <x:c r="F149" s="6"/>
      <x:c r="G149" s="6"/>
      <x:c r="H149" s="6"/>
      <x:c r="I149" s="6"/>
      <x:c r="J149" s="6"/>
      <x:c r="K149" s="6"/>
      <x:c r="L149" s="6"/>
      <x:c r="M149" s="6"/>
      <x:c r="N149" s="6"/>
      <x:c r="O149" s="6"/>
      <x:c r="P149" s="6"/>
      <x:c r="Q149" s="6"/>
    </x:row>
    <x:row r="150" ht="19" customHeight="1">
      <x:c r="A150" s="6"/>
      <x:c r="B150" s="6"/>
      <x:c r="C150" s="6"/>
      <x:c r="D150" s="6"/>
      <x:c r="E150" s="6"/>
      <x:c r="F150" s="6"/>
      <x:c r="G150" s="6"/>
      <x:c r="H150" s="6"/>
      <x:c r="I150" s="6"/>
      <x:c r="J150" s="6"/>
      <x:c r="K150" s="6"/>
      <x:c r="L150" s="6"/>
      <x:c r="M150" s="6"/>
      <x:c r="N150" s="6"/>
      <x:c r="O150" s="6"/>
      <x:c r="P150" s="6"/>
      <x:c r="Q150" s="6"/>
    </x:row>
    <x:row r="151" ht="19" customHeight="1">
      <x:c r="A151" s="6"/>
      <x:c r="B151" s="6"/>
      <x:c r="C151" s="6"/>
      <x:c r="D151" s="6"/>
      <x:c r="E151" s="6"/>
      <x:c r="F151" s="6"/>
      <x:c r="G151" s="6"/>
      <x:c r="H151" s="6"/>
      <x:c r="I151" s="6"/>
      <x:c r="J151" s="6"/>
      <x:c r="K151" s="6"/>
      <x:c r="L151" s="6"/>
      <x:c r="M151" s="6"/>
      <x:c r="N151" s="6"/>
      <x:c r="O151" s="6"/>
      <x:c r="P151" s="6"/>
      <x:c r="Q151" s="6"/>
    </x:row>
    <x:row r="152" ht="19" customHeight="1">
      <x:c r="A152" s="6"/>
      <x:c r="B152" s="6"/>
      <x:c r="C152" s="6"/>
      <x:c r="D152" s="6"/>
      <x:c r="E152" s="6"/>
      <x:c r="F152" s="6"/>
      <x:c r="G152" s="6"/>
      <x:c r="H152" s="6"/>
      <x:c r="I152" s="6"/>
      <x:c r="J152" s="6"/>
      <x:c r="K152" s="6"/>
      <x:c r="L152" s="6"/>
      <x:c r="M152" s="6"/>
      <x:c r="N152" s="6"/>
      <x:c r="O152" s="6"/>
      <x:c r="P152" s="6"/>
      <x:c r="Q152" s="6"/>
    </x:row>
    <x:row r="153" ht="19" customHeight="1">
      <x:c r="A153" s="6"/>
      <x:c r="B153" s="6"/>
      <x:c r="C153" s="6"/>
      <x:c r="D153" s="6"/>
      <x:c r="E153" s="6"/>
      <x:c r="F153" s="6"/>
      <x:c r="G153" s="6"/>
      <x:c r="H153" s="6"/>
      <x:c r="I153" s="6"/>
      <x:c r="J153" s="6"/>
      <x:c r="K153" s="6"/>
      <x:c r="L153" s="6"/>
      <x:c r="M153" s="6"/>
      <x:c r="N153" s="6"/>
      <x:c r="O153" s="6"/>
      <x:c r="P153" s="6"/>
      <x:c r="Q153" s="6"/>
    </x:row>
    <x:row r="154" ht="19" customHeight="1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  <x:c r="K154" s="6"/>
      <x:c r="L154" s="6"/>
      <x:c r="M154" s="6"/>
      <x:c r="N154" s="6"/>
      <x:c r="O154" s="6"/>
      <x:c r="P154" s="6"/>
      <x:c r="Q154" s="6"/>
    </x:row>
    <x:row r="155" ht="19" customHeight="1">
      <x:c r="A155" s="6"/>
      <x:c r="B155" s="6"/>
      <x:c r="C155" s="6"/>
      <x:c r="D155" s="6"/>
      <x:c r="E155" s="6"/>
      <x:c r="F155" s="6"/>
      <x:c r="G155" s="6"/>
      <x:c r="H155" s="6"/>
      <x:c r="I155" s="6"/>
      <x:c r="J155" s="6"/>
      <x:c r="K155" s="6"/>
      <x:c r="L155" s="6"/>
      <x:c r="M155" s="6"/>
      <x:c r="N155" s="6"/>
      <x:c r="O155" s="6"/>
      <x:c r="P155" s="6"/>
      <x:c r="Q155" s="6"/>
    </x:row>
    <x:row r="156" ht="19" customHeight="1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  <x:c r="K156" s="6"/>
      <x:c r="L156" s="6"/>
      <x:c r="M156" s="6"/>
      <x:c r="N156" s="6"/>
      <x:c r="O156" s="6"/>
      <x:c r="P156" s="6"/>
      <x:c r="Q156" s="6"/>
    </x:row>
    <x:row r="157" ht="19" customHeight="1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  <x:c r="K157" s="6"/>
      <x:c r="L157" s="6"/>
      <x:c r="M157" s="6"/>
      <x:c r="N157" s="6"/>
      <x:c r="O157" s="6"/>
      <x:c r="P157" s="6"/>
      <x:c r="Q157" s="6"/>
    </x:row>
    <x:row r="158" ht="19" customHeight="1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  <x:c r="K158" s="6"/>
      <x:c r="L158" s="6"/>
      <x:c r="M158" s="6"/>
      <x:c r="N158" s="6"/>
      <x:c r="O158" s="6"/>
      <x:c r="P158" s="6"/>
      <x:c r="Q158" s="6"/>
    </x:row>
    <x:row r="159" ht="19" customHeight="1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  <x:c r="K159" s="6"/>
      <x:c r="L159" s="6"/>
      <x:c r="M159" s="6"/>
      <x:c r="N159" s="6"/>
      <x:c r="O159" s="6"/>
      <x:c r="P159" s="6"/>
      <x:c r="Q159" s="6"/>
    </x:row>
    <x:row r="160" ht="19" customHeight="1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  <x:c r="K160" s="6"/>
      <x:c r="L160" s="6"/>
      <x:c r="M160" s="6"/>
      <x:c r="N160" s="6"/>
      <x:c r="O160" s="6"/>
      <x:c r="P160" s="6"/>
      <x:c r="Q160" s="6"/>
    </x:row>
    <x:row r="161" ht="19" customHeight="1">
      <x:c r="A161" s="6"/>
      <x:c r="B161" s="6"/>
      <x:c r="C161" s="6"/>
      <x:c r="D161" s="6"/>
      <x:c r="E161" s="6"/>
      <x:c r="F161" s="6"/>
      <x:c r="G161" s="6"/>
      <x:c r="H161" s="6"/>
      <x:c r="I161" s="6"/>
      <x:c r="J161" s="6"/>
      <x:c r="K161" s="6"/>
      <x:c r="L161" s="6"/>
      <x:c r="M161" s="6"/>
      <x:c r="N161" s="6"/>
      <x:c r="O161" s="6"/>
      <x:c r="P161" s="6"/>
      <x:c r="Q161" s="6"/>
    </x:row>
    <x:row r="162" ht="19" customHeight="1">
      <x:c r="A162" s="6"/>
      <x:c r="B162" s="6"/>
      <x:c r="C162" s="6"/>
      <x:c r="D162" s="6"/>
      <x:c r="E162" s="6"/>
      <x:c r="F162" s="6"/>
      <x:c r="G162" s="6"/>
      <x:c r="H162" s="6"/>
      <x:c r="I162" s="6"/>
      <x:c r="J162" s="6"/>
      <x:c r="K162" s="6"/>
      <x:c r="L162" s="6"/>
      <x:c r="M162" s="6"/>
      <x:c r="N162" s="6"/>
      <x:c r="O162" s="6"/>
      <x:c r="P162" s="6"/>
      <x:c r="Q162" s="6"/>
    </x:row>
    <x:row r="163" ht="19" customHeight="1">
      <x:c r="A163" s="6"/>
      <x:c r="B163" s="6"/>
      <x:c r="C163" s="6"/>
      <x:c r="D163" s="6"/>
      <x:c r="E163" s="6"/>
      <x:c r="F163" s="6"/>
      <x:c r="G163" s="6"/>
      <x:c r="H163" s="6"/>
      <x:c r="I163" s="6"/>
      <x:c r="J163" s="6"/>
      <x:c r="K163" s="6"/>
      <x:c r="L163" s="6"/>
      <x:c r="M163" s="6"/>
      <x:c r="N163" s="6"/>
      <x:c r="O163" s="6"/>
      <x:c r="P163" s="6"/>
      <x:c r="Q163" s="6"/>
    </x:row>
    <x:row r="164" ht="19" customHeight="1">
      <x:c r="A164" s="6"/>
      <x:c r="B164" s="6"/>
      <x:c r="C164" s="6"/>
      <x:c r="D164" s="6"/>
      <x:c r="E164" s="6"/>
      <x:c r="F164" s="6"/>
      <x:c r="G164" s="6"/>
      <x:c r="H164" s="6"/>
      <x:c r="I164" s="6"/>
      <x:c r="J164" s="6"/>
      <x:c r="K164" s="6"/>
      <x:c r="L164" s="6"/>
      <x:c r="M164" s="6"/>
      <x:c r="N164" s="6"/>
      <x:c r="O164" s="6"/>
      <x:c r="P164" s="6"/>
      <x:c r="Q164" s="6"/>
    </x:row>
    <x:row r="165" ht="19" customHeight="1">
      <x:c r="A165" s="6"/>
      <x:c r="B165" s="6"/>
      <x:c r="C165" s="6"/>
      <x:c r="D165" s="6"/>
      <x:c r="E165" s="6"/>
      <x:c r="F165" s="6"/>
      <x:c r="G165" s="6"/>
      <x:c r="H165" s="6"/>
      <x:c r="I165" s="6"/>
      <x:c r="J165" s="6"/>
      <x:c r="K165" s="6"/>
      <x:c r="L165" s="6"/>
      <x:c r="M165" s="6"/>
      <x:c r="N165" s="6"/>
      <x:c r="O165" s="6"/>
      <x:c r="P165" s="6"/>
      <x:c r="Q165" s="6"/>
    </x:row>
    <x:row r="166" ht="19" customHeight="1">
      <x:c r="A166" s="6"/>
      <x:c r="B166" s="6"/>
      <x:c r="C166" s="6"/>
      <x:c r="D166" s="6"/>
      <x:c r="E166" s="6"/>
      <x:c r="F166" s="6"/>
      <x:c r="G166" s="6"/>
      <x:c r="H166" s="6"/>
      <x:c r="I166" s="6"/>
      <x:c r="J166" s="6"/>
      <x:c r="K166" s="6"/>
      <x:c r="L166" s="6"/>
      <x:c r="M166" s="6"/>
      <x:c r="N166" s="6"/>
      <x:c r="O166" s="6"/>
      <x:c r="P166" s="6"/>
      <x:c r="Q166" s="6"/>
    </x:row>
    <x:row r="167" ht="19" customHeight="1">
      <x:c r="A167" s="6"/>
      <x:c r="B167" s="6"/>
      <x:c r="C167" s="6"/>
      <x:c r="D167" s="6"/>
      <x:c r="E167" s="6"/>
      <x:c r="F167" s="6"/>
      <x:c r="G167" s="6"/>
      <x:c r="H167" s="6"/>
      <x:c r="I167" s="6"/>
      <x:c r="J167" s="6"/>
      <x:c r="K167" s="6"/>
      <x:c r="L167" s="6"/>
      <x:c r="M167" s="6"/>
      <x:c r="N167" s="6"/>
      <x:c r="O167" s="6"/>
      <x:c r="P167" s="6"/>
      <x:c r="Q167" s="6"/>
    </x:row>
    <x:row r="168" ht="19" customHeight="1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  <x:c r="K168" s="6"/>
      <x:c r="L168" s="6"/>
      <x:c r="M168" s="6"/>
      <x:c r="N168" s="6"/>
      <x:c r="O168" s="6"/>
      <x:c r="P168" s="6"/>
      <x:c r="Q168" s="6"/>
    </x:row>
    <x:row r="169" ht="19" customHeight="1">
      <x:c r="A169" s="6"/>
      <x:c r="B169" s="6"/>
      <x:c r="C169" s="6"/>
      <x:c r="D169" s="6"/>
      <x:c r="E169" s="6"/>
      <x:c r="F169" s="6"/>
      <x:c r="G169" s="6"/>
      <x:c r="H169" s="6"/>
      <x:c r="I169" s="6"/>
      <x:c r="J169" s="6"/>
      <x:c r="K169" s="6"/>
      <x:c r="L169" s="6"/>
      <x:c r="M169" s="6"/>
      <x:c r="N169" s="6"/>
      <x:c r="O169" s="6"/>
      <x:c r="P169" s="6"/>
      <x:c r="Q169" s="6"/>
    </x:row>
    <x:row r="170" ht="19" customHeight="1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  <x:c r="K170" s="6"/>
      <x:c r="L170" s="6"/>
      <x:c r="M170" s="6"/>
      <x:c r="N170" s="6"/>
      <x:c r="O170" s="6"/>
      <x:c r="P170" s="6"/>
      <x:c r="Q170" s="6"/>
    </x:row>
    <x:row r="171" ht="19" customHeight="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  <x:c r="M171" s="6"/>
      <x:c r="N171" s="6"/>
      <x:c r="O171" s="6"/>
      <x:c r="P171" s="6"/>
      <x:c r="Q171" s="6"/>
    </x:row>
    <x:row r="172" ht="19" customHeight="1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  <x:c r="K172" s="6"/>
      <x:c r="L172" s="6"/>
      <x:c r="M172" s="6"/>
      <x:c r="N172" s="6"/>
      <x:c r="O172" s="6"/>
      <x:c r="P172" s="6"/>
      <x:c r="Q172" s="6"/>
    </x:row>
    <x:row r="173" ht="19" customHeight="1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  <x:c r="K173" s="6"/>
      <x:c r="L173" s="6"/>
      <x:c r="M173" s="6"/>
      <x:c r="N173" s="6"/>
      <x:c r="O173" s="6"/>
      <x:c r="P173" s="6"/>
      <x:c r="Q173" s="6"/>
    </x:row>
    <x:row r="174" ht="19" customHeight="1">
      <x:c r="A174" s="6"/>
      <x:c r="B174" s="6"/>
      <x:c r="C174" s="6"/>
      <x:c r="D174" s="6"/>
      <x:c r="E174" s="6"/>
      <x:c r="F174" s="6"/>
      <x:c r="G174" s="6"/>
      <x:c r="H174" s="6"/>
      <x:c r="I174" s="6"/>
      <x:c r="J174" s="6"/>
      <x:c r="K174" s="6"/>
      <x:c r="L174" s="6"/>
      <x:c r="M174" s="6"/>
      <x:c r="N174" s="6"/>
      <x:c r="O174" s="6"/>
      <x:c r="P174" s="6"/>
      <x:c r="Q174" s="6"/>
    </x:row>
    <x:row r="175" ht="19" customHeight="1">
      <x:c r="A175" s="6"/>
      <x:c r="B175" s="6"/>
      <x:c r="C175" s="6"/>
      <x:c r="D175" s="6"/>
      <x:c r="E175" s="6"/>
      <x:c r="F175" s="6"/>
      <x:c r="G175" s="6"/>
      <x:c r="H175" s="6"/>
      <x:c r="I175" s="6"/>
      <x:c r="J175" s="6"/>
      <x:c r="K175" s="6"/>
      <x:c r="L175" s="6"/>
      <x:c r="M175" s="6"/>
      <x:c r="N175" s="6"/>
      <x:c r="O175" s="6"/>
      <x:c r="P175" s="6"/>
      <x:c r="Q175" s="6"/>
    </x:row>
    <x:row r="176" ht="19" customHeight="1">
      <x:c r="A176" s="6"/>
      <x:c r="B176" s="6"/>
      <x:c r="C176" s="6"/>
      <x:c r="D176" s="6"/>
      <x:c r="E176" s="6"/>
      <x:c r="F176" s="6"/>
      <x:c r="G176" s="6"/>
      <x:c r="H176" s="6"/>
      <x:c r="I176" s="6"/>
      <x:c r="J176" s="6"/>
      <x:c r="K176" s="6"/>
      <x:c r="L176" s="6"/>
      <x:c r="M176" s="6"/>
      <x:c r="N176" s="6"/>
      <x:c r="O176" s="6"/>
      <x:c r="P176" s="6"/>
      <x:c r="Q176" s="6"/>
    </x:row>
    <x:row r="177" ht="19" customHeight="1">
      <x:c r="A177" s="6"/>
      <x:c r="B177" s="6"/>
      <x:c r="C177" s="6"/>
      <x:c r="D177" s="6"/>
      <x:c r="E177" s="6"/>
      <x:c r="F177" s="6"/>
      <x:c r="G177" s="6"/>
      <x:c r="H177" s="6"/>
      <x:c r="I177" s="6"/>
      <x:c r="J177" s="6"/>
      <x:c r="K177" s="6"/>
      <x:c r="L177" s="6"/>
      <x:c r="M177" s="6"/>
      <x:c r="N177" s="6"/>
      <x:c r="O177" s="6"/>
      <x:c r="P177" s="6"/>
      <x:c r="Q177" s="6"/>
    </x:row>
    <x:row r="178" ht="19" customHeight="1">
      <x:c r="A178" s="6"/>
      <x:c r="B178" s="6"/>
      <x:c r="C178" s="6"/>
      <x:c r="D178" s="6"/>
      <x:c r="E178" s="6"/>
      <x:c r="F178" s="6"/>
      <x:c r="G178" s="6"/>
      <x:c r="H178" s="6"/>
      <x:c r="I178" s="6"/>
      <x:c r="J178" s="6"/>
      <x:c r="K178" s="6"/>
      <x:c r="L178" s="6"/>
      <x:c r="M178" s="6"/>
      <x:c r="N178" s="6"/>
      <x:c r="O178" s="6"/>
      <x:c r="P178" s="6"/>
      <x:c r="Q178" s="6"/>
    </x:row>
    <x:row r="179" ht="19" customHeight="1">
      <x:c r="A179" s="6"/>
      <x:c r="B179" s="6"/>
      <x:c r="C179" s="6"/>
      <x:c r="D179" s="6"/>
      <x:c r="E179" s="6"/>
      <x:c r="F179" s="6"/>
      <x:c r="G179" s="6"/>
      <x:c r="H179" s="6"/>
      <x:c r="I179" s="6"/>
      <x:c r="J179" s="6"/>
      <x:c r="K179" s="6"/>
      <x:c r="L179" s="6"/>
      <x:c r="M179" s="6"/>
      <x:c r="N179" s="6"/>
      <x:c r="O179" s="6"/>
      <x:c r="P179" s="6"/>
      <x:c r="Q179" s="6"/>
    </x:row>
    <x:row r="180" ht="19" customHeight="1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  <x:c r="K180" s="6"/>
      <x:c r="L180" s="6"/>
      <x:c r="M180" s="6"/>
      <x:c r="N180" s="6"/>
      <x:c r="O180" s="6"/>
      <x:c r="P180" s="6"/>
      <x:c r="Q180" s="6"/>
    </x:row>
    <x:row r="181" ht="19" customHeight="1">
      <x:c r="A181" s="6"/>
      <x:c r="B181" s="6"/>
      <x:c r="C181" s="6"/>
      <x:c r="D181" s="6"/>
      <x:c r="E181" s="6"/>
      <x:c r="F181" s="6"/>
      <x:c r="G181" s="6"/>
      <x:c r="H181" s="6"/>
      <x:c r="I181" s="6"/>
      <x:c r="J181" s="6"/>
      <x:c r="K181" s="6"/>
      <x:c r="L181" s="6"/>
      <x:c r="M181" s="6"/>
      <x:c r="N181" s="6"/>
      <x:c r="O181" s="6"/>
      <x:c r="P181" s="6"/>
      <x:c r="Q181" s="6"/>
    </x:row>
    <x:row r="182" ht="19" customHeight="1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  <x:c r="K182" s="6"/>
      <x:c r="L182" s="6"/>
      <x:c r="M182" s="6"/>
      <x:c r="N182" s="6"/>
      <x:c r="O182" s="6"/>
      <x:c r="P182" s="6"/>
      <x:c r="Q182" s="6"/>
    </x:row>
    <x:row r="183" ht="19" customHeight="1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  <x:c r="M183" s="6"/>
      <x:c r="N183" s="6"/>
      <x:c r="O183" s="6"/>
      <x:c r="P183" s="6"/>
      <x:c r="Q183" s="6"/>
    </x:row>
    <x:row r="184" ht="19" customHeight="1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  <x:c r="K184" s="6"/>
      <x:c r="L184" s="6"/>
      <x:c r="M184" s="6"/>
      <x:c r="N184" s="6"/>
      <x:c r="O184" s="6"/>
      <x:c r="P184" s="6"/>
      <x:c r="Q184" s="6"/>
    </x:row>
    <x:row r="185" ht="19" customHeight="1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  <x:c r="M185" s="6"/>
      <x:c r="N185" s="6"/>
      <x:c r="O185" s="6"/>
      <x:c r="P185" s="6"/>
      <x:c r="Q185" s="6"/>
    </x:row>
    <x:row r="186" ht="19" customHeight="1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  <x:c r="K186" s="6"/>
      <x:c r="L186" s="6"/>
      <x:c r="M186" s="6"/>
      <x:c r="N186" s="6"/>
      <x:c r="O186" s="6"/>
      <x:c r="P186" s="6"/>
      <x:c r="Q186" s="6"/>
    </x:row>
    <x:row r="187" ht="19" customHeight="1">
      <x:c r="A187" s="6"/>
      <x:c r="B187" s="6"/>
      <x:c r="C187" s="6"/>
      <x:c r="D187" s="6"/>
      <x:c r="E187" s="6"/>
      <x:c r="F187" s="6"/>
      <x:c r="G187" s="6"/>
      <x:c r="H187" s="6"/>
      <x:c r="I187" s="6"/>
      <x:c r="J187" s="6"/>
      <x:c r="K187" s="6"/>
      <x:c r="L187" s="6"/>
      <x:c r="M187" s="6"/>
      <x:c r="N187" s="6"/>
      <x:c r="O187" s="6"/>
      <x:c r="P187" s="6"/>
      <x:c r="Q187" s="6"/>
    </x:row>
    <x:row r="188" ht="19" customHeight="1">
      <x:c r="A188" s="6"/>
      <x:c r="B188" s="6"/>
      <x:c r="C188" s="6"/>
      <x:c r="D188" s="6"/>
      <x:c r="E188" s="6"/>
      <x:c r="F188" s="6"/>
      <x:c r="G188" s="6"/>
      <x:c r="H188" s="6"/>
      <x:c r="I188" s="6"/>
      <x:c r="J188" s="6"/>
      <x:c r="K188" s="6"/>
      <x:c r="L188" s="6"/>
      <x:c r="M188" s="6"/>
      <x:c r="N188" s="6"/>
      <x:c r="O188" s="6"/>
      <x:c r="P188" s="6"/>
      <x:c r="Q188" s="6"/>
    </x:row>
    <x:row r="189" ht="19" customHeight="1">
      <x:c r="A189" s="6"/>
      <x:c r="B189" s="6"/>
      <x:c r="C189" s="6"/>
      <x:c r="D189" s="6"/>
      <x:c r="E189" s="6"/>
      <x:c r="F189" s="6"/>
      <x:c r="G189" s="6"/>
      <x:c r="H189" s="6"/>
      <x:c r="I189" s="6"/>
      <x:c r="J189" s="6"/>
      <x:c r="K189" s="6"/>
      <x:c r="L189" s="6"/>
      <x:c r="M189" s="6"/>
      <x:c r="N189" s="6"/>
      <x:c r="O189" s="6"/>
      <x:c r="P189" s="6"/>
      <x:c r="Q189" s="6"/>
    </x:row>
    <x:row r="190" ht="19" customHeight="1">
      <x:c r="A190" s="6"/>
      <x:c r="B190" s="6"/>
      <x:c r="C190" s="6"/>
      <x:c r="D190" s="6"/>
      <x:c r="E190" s="6"/>
      <x:c r="F190" s="6"/>
      <x:c r="G190" s="6"/>
      <x:c r="H190" s="6"/>
      <x:c r="I190" s="6"/>
      <x:c r="J190" s="6"/>
      <x:c r="K190" s="6"/>
      <x:c r="L190" s="6"/>
      <x:c r="M190" s="6"/>
      <x:c r="N190" s="6"/>
      <x:c r="O190" s="6"/>
      <x:c r="P190" s="6"/>
      <x:c r="Q190" s="6"/>
    </x:row>
    <x:row r="191" ht="19" customHeight="1">
      <x:c r="A191" s="6"/>
      <x:c r="B191" s="6"/>
      <x:c r="C191" s="6"/>
      <x:c r="D191" s="6"/>
      <x:c r="E191" s="6"/>
      <x:c r="F191" s="6"/>
      <x:c r="G191" s="6"/>
      <x:c r="H191" s="6"/>
      <x:c r="I191" s="6"/>
      <x:c r="J191" s="6"/>
      <x:c r="K191" s="6"/>
      <x:c r="L191" s="6"/>
      <x:c r="M191" s="6"/>
      <x:c r="N191" s="6"/>
      <x:c r="O191" s="6"/>
      <x:c r="P191" s="6"/>
      <x:c r="Q191" s="6"/>
    </x:row>
    <x:row r="192" ht="19" customHeight="1">
      <x:c r="A192" s="6"/>
      <x:c r="B192" s="6"/>
      <x:c r="C192" s="6"/>
      <x:c r="D192" s="6"/>
      <x:c r="E192" s="6"/>
      <x:c r="F192" s="6"/>
      <x:c r="G192" s="6"/>
      <x:c r="H192" s="6"/>
      <x:c r="I192" s="6"/>
      <x:c r="J192" s="6"/>
      <x:c r="K192" s="6"/>
      <x:c r="L192" s="6"/>
      <x:c r="M192" s="6"/>
      <x:c r="N192" s="6"/>
      <x:c r="O192" s="6"/>
      <x:c r="P192" s="6"/>
      <x:c r="Q192" s="6"/>
    </x:row>
    <x:row r="193" ht="19" customHeight="1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  <x:c r="M193" s="6"/>
      <x:c r="N193" s="6"/>
      <x:c r="O193" s="6"/>
      <x:c r="P193" s="6"/>
      <x:c r="Q193" s="6"/>
    </x:row>
    <x:row r="194" ht="19" customHeight="1">
      <x:c r="A194" s="6"/>
      <x:c r="B194" s="6"/>
      <x:c r="C194" s="6"/>
      <x:c r="D194" s="6"/>
      <x:c r="E194" s="6"/>
      <x:c r="F194" s="6"/>
      <x:c r="G194" s="6"/>
      <x:c r="H194" s="6"/>
      <x:c r="I194" s="6"/>
      <x:c r="J194" s="6"/>
      <x:c r="K194" s="6"/>
      <x:c r="L194" s="6"/>
      <x:c r="M194" s="6"/>
      <x:c r="N194" s="6"/>
      <x:c r="O194" s="6"/>
      <x:c r="P194" s="6"/>
      <x:c r="Q194" s="6"/>
    </x:row>
    <x:row r="195" ht="19" customHeight="1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  <x:c r="M195" s="6"/>
      <x:c r="N195" s="6"/>
      <x:c r="O195" s="6"/>
      <x:c r="P195" s="6"/>
      <x:c r="Q195" s="6"/>
    </x:row>
    <x:row r="196" ht="19" customHeight="1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  <x:c r="K196" s="6"/>
      <x:c r="L196" s="6"/>
      <x:c r="M196" s="6"/>
      <x:c r="N196" s="6"/>
      <x:c r="O196" s="6"/>
      <x:c r="P196" s="6"/>
      <x:c r="Q196" s="6"/>
    </x:row>
    <x:row r="197" ht="19" customHeight="1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  <x:c r="K197" s="6"/>
      <x:c r="L197" s="6"/>
      <x:c r="M197" s="6"/>
      <x:c r="N197" s="6"/>
      <x:c r="O197" s="6"/>
      <x:c r="P197" s="6"/>
      <x:c r="Q197" s="6"/>
    </x:row>
    <x:row r="198" ht="19" customHeight="1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  <x:c r="K198" s="6"/>
      <x:c r="L198" s="6"/>
      <x:c r="M198" s="6"/>
      <x:c r="N198" s="6"/>
      <x:c r="O198" s="6"/>
      <x:c r="P198" s="6"/>
      <x:c r="Q198" s="6"/>
    </x:row>
    <x:row r="199" ht="19" customHeight="1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  <x:c r="K199" s="6"/>
      <x:c r="L199" s="6"/>
      <x:c r="M199" s="6"/>
      <x:c r="N199" s="6"/>
      <x:c r="O199" s="6"/>
      <x:c r="P199" s="6"/>
      <x:c r="Q199" s="6"/>
    </x:row>
    <x:row r="200" ht="19" customHeight="1">
      <x:c r="A200" s="6"/>
      <x:c r="B200" s="6"/>
      <x:c r="C200" s="6"/>
      <x:c r="D200" s="6"/>
      <x:c r="E200" s="6"/>
      <x:c r="F200" s="6"/>
      <x:c r="G200" s="6"/>
      <x:c r="H200" s="6"/>
      <x:c r="I200" s="6"/>
      <x:c r="J200" s="6"/>
      <x:c r="K200" s="6"/>
      <x:c r="L200" s="6"/>
      <x:c r="M200" s="6"/>
      <x:c r="N200" s="6"/>
      <x:c r="O200" s="6"/>
      <x:c r="P200" s="6"/>
      <x:c r="Q200" s="6"/>
    </x:row>
    <x:row r="201" ht="19" customHeight="1">
      <x:c r="A201" s="6"/>
      <x:c r="B201" s="6"/>
      <x:c r="C201" s="6"/>
      <x:c r="D201" s="6"/>
      <x:c r="E201" s="6"/>
      <x:c r="F201" s="6"/>
      <x:c r="G201" s="6"/>
      <x:c r="H201" s="6"/>
      <x:c r="I201" s="6"/>
      <x:c r="J201" s="6"/>
      <x:c r="K201" s="6"/>
      <x:c r="L201" s="6"/>
      <x:c r="M201" s="6"/>
      <x:c r="N201" s="6"/>
      <x:c r="O201" s="6"/>
      <x:c r="P201" s="6"/>
      <x:c r="Q201" s="6"/>
    </x:row>
    <x:row r="202" ht="19" customHeight="1">
      <x:c r="A202" s="6"/>
      <x:c r="B202" s="6"/>
      <x:c r="C202" s="6"/>
      <x:c r="D202" s="6"/>
      <x:c r="E202" s="6"/>
      <x:c r="F202" s="6"/>
      <x:c r="G202" s="6"/>
      <x:c r="H202" s="6"/>
      <x:c r="I202" s="6"/>
      <x:c r="J202" s="6"/>
      <x:c r="K202" s="6"/>
      <x:c r="L202" s="6"/>
      <x:c r="M202" s="6"/>
      <x:c r="N202" s="6"/>
      <x:c r="O202" s="6"/>
      <x:c r="P202" s="6"/>
      <x:c r="Q202" s="6"/>
    </x:row>
    <x:row r="203" ht="19" customHeight="1">
      <x:c r="A203" s="6"/>
      <x:c r="B203" s="6"/>
      <x:c r="C203" s="6"/>
      <x:c r="D203" s="6"/>
      <x:c r="E203" s="6"/>
      <x:c r="F203" s="6"/>
      <x:c r="G203" s="6"/>
      <x:c r="H203" s="6"/>
      <x:c r="I203" s="6"/>
      <x:c r="J203" s="6"/>
      <x:c r="K203" s="6"/>
      <x:c r="L203" s="6"/>
      <x:c r="M203" s="6"/>
      <x:c r="N203" s="6"/>
      <x:c r="O203" s="6"/>
      <x:c r="P203" s="6"/>
      <x:c r="Q203" s="6"/>
    </x:row>
    <x:row r="204" ht="19" customHeight="1">
      <x:c r="A204" s="6"/>
      <x:c r="B204" s="6"/>
      <x:c r="C204" s="6"/>
      <x:c r="D204" s="6"/>
      <x:c r="E204" s="6"/>
      <x:c r="F204" s="6"/>
      <x:c r="G204" s="6"/>
      <x:c r="H204" s="6"/>
      <x:c r="I204" s="6"/>
      <x:c r="J204" s="6"/>
      <x:c r="K204" s="6"/>
      <x:c r="L204" s="6"/>
      <x:c r="M204" s="6"/>
      <x:c r="N204" s="6"/>
      <x:c r="O204" s="6"/>
      <x:c r="P204" s="6"/>
      <x:c r="Q204" s="6"/>
    </x:row>
    <x:row r="205" ht="19" customHeight="1">
      <x:c r="A205" s="6"/>
      <x:c r="B205" s="6"/>
      <x:c r="C205" s="6"/>
      <x:c r="D205" s="6"/>
      <x:c r="E205" s="6"/>
      <x:c r="F205" s="6"/>
      <x:c r="G205" s="6"/>
      <x:c r="H205" s="6"/>
      <x:c r="I205" s="6"/>
      <x:c r="J205" s="6"/>
      <x:c r="K205" s="6"/>
      <x:c r="L205" s="6"/>
      <x:c r="M205" s="6"/>
      <x:c r="N205" s="6"/>
      <x:c r="O205" s="6"/>
      <x:c r="P205" s="6"/>
      <x:c r="Q205" s="6"/>
    </x:row>
    <x:row r="206" ht="19" customHeight="1">
      <x:c r="A206" s="6"/>
      <x:c r="B206" s="6"/>
      <x:c r="C206" s="6"/>
      <x:c r="D206" s="6"/>
      <x:c r="E206" s="6"/>
      <x:c r="F206" s="6"/>
      <x:c r="G206" s="6"/>
      <x:c r="H206" s="6"/>
      <x:c r="I206" s="6"/>
      <x:c r="J206" s="6"/>
      <x:c r="K206" s="6"/>
      <x:c r="L206" s="6"/>
      <x:c r="M206" s="6"/>
      <x:c r="N206" s="6"/>
      <x:c r="O206" s="6"/>
      <x:c r="P206" s="6"/>
      <x:c r="Q206" s="6"/>
    </x:row>
    <x:row r="207" ht="19" customHeight="1">
      <x:c r="A207" s="6"/>
      <x:c r="B207" s="6"/>
      <x:c r="C207" s="6"/>
      <x:c r="D207" s="6"/>
      <x:c r="E207" s="6"/>
      <x:c r="F207" s="6"/>
      <x:c r="G207" s="6"/>
      <x:c r="H207" s="6"/>
      <x:c r="I207" s="6"/>
      <x:c r="J207" s="6"/>
      <x:c r="K207" s="6"/>
      <x:c r="L207" s="6"/>
      <x:c r="M207" s="6"/>
      <x:c r="N207" s="6"/>
      <x:c r="O207" s="6"/>
      <x:c r="P207" s="6"/>
      <x:c r="Q207" s="6"/>
    </x:row>
    <x:row r="208" ht="19" customHeight="1">
      <x:c r="A208" s="6"/>
      <x:c r="B208" s="6"/>
      <x:c r="C208" s="6"/>
      <x:c r="D208" s="6"/>
      <x:c r="E208" s="6"/>
      <x:c r="F208" s="6"/>
      <x:c r="G208" s="6"/>
      <x:c r="H208" s="6"/>
      <x:c r="I208" s="6"/>
      <x:c r="J208" s="6"/>
      <x:c r="K208" s="6"/>
      <x:c r="L208" s="6"/>
      <x:c r="M208" s="6"/>
      <x:c r="N208" s="6"/>
      <x:c r="O208" s="6"/>
      <x:c r="P208" s="6"/>
      <x:c r="Q208" s="6"/>
    </x:row>
    <x:row r="209" ht="19" customHeight="1">
      <x:c r="A209" s="6"/>
      <x:c r="B209" s="6"/>
      <x:c r="C209" s="6"/>
      <x:c r="D209" s="6"/>
      <x:c r="E209" s="6"/>
      <x:c r="F209" s="6"/>
      <x:c r="G209" s="6"/>
      <x:c r="H209" s="6"/>
      <x:c r="I209" s="6"/>
      <x:c r="J209" s="6"/>
      <x:c r="K209" s="6"/>
      <x:c r="L209" s="6"/>
      <x:c r="M209" s="6"/>
      <x:c r="N209" s="6"/>
      <x:c r="O209" s="6"/>
      <x:c r="P209" s="6"/>
      <x:c r="Q209" s="6"/>
    </x:row>
    <x:row r="210" ht="19" customHeight="1">
      <x:c r="A210" s="6"/>
      <x:c r="B210" s="6"/>
      <x:c r="C210" s="6"/>
      <x:c r="D210" s="6"/>
      <x:c r="E210" s="6"/>
      <x:c r="F210" s="6"/>
      <x:c r="G210" s="6"/>
      <x:c r="H210" s="6"/>
      <x:c r="I210" s="6"/>
      <x:c r="J210" s="6"/>
      <x:c r="K210" s="6"/>
      <x:c r="L210" s="6"/>
      <x:c r="M210" s="6"/>
      <x:c r="N210" s="6"/>
      <x:c r="O210" s="6"/>
      <x:c r="P210" s="6"/>
      <x:c r="Q210" s="6"/>
    </x:row>
    <x:row r="211" ht="19" customHeight="1">
      <x:c r="A211" s="6"/>
      <x:c r="B211" s="6"/>
      <x:c r="C211" s="6"/>
      <x:c r="D211" s="6"/>
      <x:c r="E211" s="6"/>
      <x:c r="F211" s="6"/>
      <x:c r="G211" s="6"/>
      <x:c r="H211" s="6"/>
      <x:c r="I211" s="6"/>
      <x:c r="J211" s="6"/>
      <x:c r="K211" s="6"/>
      <x:c r="L211" s="6"/>
      <x:c r="M211" s="6"/>
      <x:c r="N211" s="6"/>
      <x:c r="O211" s="6"/>
      <x:c r="P211" s="6"/>
      <x:c r="Q211" s="6"/>
    </x:row>
    <x:row r="212" ht="19" customHeight="1">
      <x:c r="A212" s="6"/>
      <x:c r="B212" s="6"/>
      <x:c r="C212" s="6"/>
      <x:c r="D212" s="6"/>
      <x:c r="E212" s="6"/>
      <x:c r="F212" s="6"/>
      <x:c r="G212" s="6"/>
      <x:c r="H212" s="6"/>
      <x:c r="I212" s="6"/>
      <x:c r="J212" s="6"/>
      <x:c r="K212" s="6"/>
      <x:c r="L212" s="6"/>
      <x:c r="M212" s="6"/>
      <x:c r="N212" s="6"/>
      <x:c r="O212" s="6"/>
      <x:c r="P212" s="6"/>
      <x:c r="Q212" s="6"/>
    </x:row>
    <x:row r="213" ht="19" customHeight="1">
      <x:c r="A213" s="6"/>
      <x:c r="B213" s="6"/>
      <x:c r="C213" s="6"/>
      <x:c r="D213" s="6"/>
      <x:c r="E213" s="6"/>
      <x:c r="F213" s="6"/>
      <x:c r="G213" s="6"/>
      <x:c r="H213" s="6"/>
      <x:c r="I213" s="6"/>
      <x:c r="J213" s="6"/>
      <x:c r="K213" s="6"/>
      <x:c r="L213" s="6"/>
      <x:c r="M213" s="6"/>
      <x:c r="N213" s="6"/>
      <x:c r="O213" s="6"/>
      <x:c r="P213" s="6"/>
      <x:c r="Q213" s="6"/>
    </x:row>
    <x:row r="214" ht="19" customHeight="1">
      <x:c r="A214" s="6"/>
      <x:c r="B214" s="6"/>
      <x:c r="C214" s="6"/>
      <x:c r="D214" s="6"/>
      <x:c r="E214" s="6"/>
      <x:c r="F214" s="6"/>
      <x:c r="G214" s="6"/>
      <x:c r="H214" s="6"/>
      <x:c r="I214" s="6"/>
      <x:c r="J214" s="6"/>
      <x:c r="K214" s="6"/>
      <x:c r="L214" s="6"/>
      <x:c r="M214" s="6"/>
      <x:c r="N214" s="6"/>
      <x:c r="O214" s="6"/>
      <x:c r="P214" s="6"/>
      <x:c r="Q214" s="6"/>
    </x:row>
    <x:row r="215" ht="19" customHeight="1">
      <x:c r="A215" s="6"/>
      <x:c r="B215" s="6"/>
      <x:c r="C215" s="6"/>
      <x:c r="D215" s="6"/>
      <x:c r="E215" s="6"/>
      <x:c r="F215" s="6"/>
      <x:c r="G215" s="6"/>
      <x:c r="H215" s="6"/>
      <x:c r="I215" s="6"/>
      <x:c r="J215" s="6"/>
      <x:c r="K215" s="6"/>
      <x:c r="L215" s="6"/>
      <x:c r="M215" s="6"/>
      <x:c r="N215" s="6"/>
      <x:c r="O215" s="6"/>
      <x:c r="P215" s="6"/>
      <x:c r="Q215" s="6"/>
    </x:row>
    <x:row r="216" ht="19" customHeight="1">
      <x:c r="A216" s="6"/>
      <x:c r="B216" s="6"/>
      <x:c r="C216" s="6"/>
      <x:c r="D216" s="6"/>
      <x:c r="E216" s="6"/>
      <x:c r="F216" s="6"/>
      <x:c r="G216" s="6"/>
      <x:c r="H216" s="6"/>
      <x:c r="I216" s="6"/>
      <x:c r="J216" s="6"/>
      <x:c r="K216" s="6"/>
      <x:c r="L216" s="6"/>
      <x:c r="M216" s="6"/>
      <x:c r="N216" s="6"/>
      <x:c r="O216" s="6"/>
      <x:c r="P216" s="6"/>
      <x:c r="Q216" s="6"/>
    </x:row>
    <x:row r="217" ht="19" customHeight="1">
      <x:c r="A217" s="6"/>
      <x:c r="B217" s="6"/>
      <x:c r="C217" s="6"/>
      <x:c r="D217" s="6"/>
      <x:c r="E217" s="6"/>
      <x:c r="F217" s="6"/>
      <x:c r="G217" s="6"/>
      <x:c r="H217" s="6"/>
      <x:c r="I217" s="6"/>
      <x:c r="J217" s="6"/>
      <x:c r="K217" s="6"/>
      <x:c r="L217" s="6"/>
      <x:c r="M217" s="6"/>
      <x:c r="N217" s="6"/>
      <x:c r="O217" s="6"/>
      <x:c r="P217" s="6"/>
      <x:c r="Q217" s="6"/>
    </x:row>
    <x:row r="218" ht="19" customHeight="1">
      <x:c r="A218" s="6"/>
      <x:c r="B218" s="6"/>
      <x:c r="C218" s="6"/>
      <x:c r="D218" s="6"/>
      <x:c r="E218" s="6"/>
      <x:c r="F218" s="6"/>
      <x:c r="G218" s="6"/>
      <x:c r="H218" s="6"/>
      <x:c r="I218" s="6"/>
      <x:c r="J218" s="6"/>
      <x:c r="K218" s="6"/>
      <x:c r="L218" s="6"/>
      <x:c r="M218" s="6"/>
      <x:c r="N218" s="6"/>
      <x:c r="O218" s="6"/>
      <x:c r="P218" s="6"/>
      <x:c r="Q218" s="6"/>
    </x:row>
    <x:row r="219" ht="19" customHeight="1">
      <x:c r="A219" s="6"/>
      <x:c r="B219" s="6"/>
      <x:c r="C219" s="6"/>
      <x:c r="D219" s="6"/>
      <x:c r="E219" s="6"/>
      <x:c r="F219" s="6"/>
      <x:c r="G219" s="6"/>
      <x:c r="H219" s="6"/>
      <x:c r="I219" s="6"/>
      <x:c r="J219" s="6"/>
      <x:c r="K219" s="6"/>
      <x:c r="L219" s="6"/>
      <x:c r="M219" s="6"/>
      <x:c r="N219" s="6"/>
      <x:c r="O219" s="6"/>
      <x:c r="P219" s="6"/>
      <x:c r="Q219" s="6"/>
    </x:row>
    <x:row r="220" ht="19" customHeight="1">
      <x:c r="A220" s="6"/>
      <x:c r="B220" s="6"/>
      <x:c r="C220" s="6"/>
      <x:c r="D220" s="6"/>
      <x:c r="E220" s="6"/>
      <x:c r="F220" s="6"/>
      <x:c r="G220" s="6"/>
      <x:c r="H220" s="6"/>
      <x:c r="I220" s="6"/>
      <x:c r="J220" s="6"/>
      <x:c r="K220" s="6"/>
      <x:c r="L220" s="6"/>
      <x:c r="M220" s="6"/>
      <x:c r="N220" s="6"/>
      <x:c r="O220" s="6"/>
      <x:c r="P220" s="6"/>
      <x:c r="Q220" s="6"/>
    </x:row>
    <x:row r="221" ht="19" customHeight="1">
      <x:c r="A221" s="6"/>
      <x:c r="B221" s="6"/>
      <x:c r="C221" s="6"/>
      <x:c r="D221" s="6"/>
      <x:c r="E221" s="6"/>
      <x:c r="F221" s="6"/>
      <x:c r="G221" s="6"/>
      <x:c r="H221" s="6"/>
      <x:c r="I221" s="6"/>
      <x:c r="J221" s="6"/>
      <x:c r="K221" s="6"/>
      <x:c r="L221" s="6"/>
      <x:c r="M221" s="6"/>
      <x:c r="N221" s="6"/>
      <x:c r="O221" s="6"/>
      <x:c r="P221" s="6"/>
      <x:c r="Q221" s="6"/>
    </x:row>
    <x:row r="222" ht="19" customHeight="1">
      <x:c r="A222" s="6"/>
      <x:c r="B222" s="6"/>
      <x:c r="C222" s="6"/>
      <x:c r="D222" s="6"/>
      <x:c r="E222" s="6"/>
      <x:c r="F222" s="6"/>
      <x:c r="G222" s="6"/>
      <x:c r="H222" s="6"/>
      <x:c r="I222" s="6"/>
      <x:c r="J222" s="6"/>
      <x:c r="K222" s="6"/>
      <x:c r="L222" s="6"/>
      <x:c r="M222" s="6"/>
      <x:c r="N222" s="6"/>
      <x:c r="O222" s="6"/>
      <x:c r="P222" s="6"/>
      <x:c r="Q222" s="6"/>
    </x:row>
    <x:row r="223" ht="19" customHeight="1">
      <x:c r="A223" s="6"/>
      <x:c r="B223" s="6"/>
      <x:c r="C223" s="6"/>
      <x:c r="D223" s="6"/>
      <x:c r="E223" s="6"/>
      <x:c r="F223" s="6"/>
      <x:c r="G223" s="6"/>
      <x:c r="H223" s="6"/>
      <x:c r="I223" s="6"/>
      <x:c r="J223" s="6"/>
      <x:c r="K223" s="6"/>
      <x:c r="L223" s="6"/>
      <x:c r="M223" s="6"/>
      <x:c r="N223" s="6"/>
      <x:c r="O223" s="6"/>
      <x:c r="P223" s="6"/>
      <x:c r="Q223" s="6"/>
    </x:row>
    <x:row r="224" ht="19" customHeight="1">
      <x:c r="A224" s="6"/>
      <x:c r="B224" s="6"/>
      <x:c r="C224" s="6"/>
      <x:c r="D224" s="6"/>
      <x:c r="E224" s="6"/>
      <x:c r="F224" s="6"/>
      <x:c r="G224" s="6"/>
      <x:c r="H224" s="6"/>
      <x:c r="I224" s="6"/>
      <x:c r="J224" s="6"/>
      <x:c r="K224" s="6"/>
      <x:c r="L224" s="6"/>
      <x:c r="M224" s="6"/>
      <x:c r="N224" s="6"/>
      <x:c r="O224" s="6"/>
      <x:c r="P224" s="6"/>
      <x:c r="Q224" s="6"/>
    </x:row>
    <x:row r="225" ht="19" customHeight="1">
      <x:c r="A225" s="6"/>
      <x:c r="B225" s="6"/>
      <x:c r="C225" s="6"/>
      <x:c r="D225" s="6"/>
      <x:c r="E225" s="6"/>
      <x:c r="F225" s="6"/>
      <x:c r="G225" s="6"/>
      <x:c r="H225" s="6"/>
      <x:c r="I225" s="6"/>
      <x:c r="J225" s="6"/>
      <x:c r="K225" s="6"/>
      <x:c r="L225" s="6"/>
      <x:c r="M225" s="6"/>
      <x:c r="N225" s="6"/>
      <x:c r="O225" s="6"/>
      <x:c r="P225" s="6"/>
      <x:c r="Q225" s="6"/>
    </x:row>
    <x:row r="226" ht="19" customHeight="1">
      <x:c r="A226" s="6"/>
      <x:c r="B226" s="6"/>
      <x:c r="C226" s="6"/>
      <x:c r="D226" s="6"/>
      <x:c r="E226" s="6"/>
      <x:c r="F226" s="6"/>
      <x:c r="G226" s="6"/>
      <x:c r="H226" s="6"/>
      <x:c r="I226" s="6"/>
      <x:c r="J226" s="6"/>
      <x:c r="K226" s="6"/>
      <x:c r="L226" s="6"/>
      <x:c r="M226" s="6"/>
      <x:c r="N226" s="6"/>
      <x:c r="O226" s="6"/>
      <x:c r="P226" s="6"/>
      <x:c r="Q226" s="6"/>
    </x:row>
    <x:row r="227" ht="19" customHeight="1">
      <x:c r="A227" s="6"/>
      <x:c r="B227" s="6"/>
      <x:c r="C227" s="6"/>
      <x:c r="D227" s="6"/>
      <x:c r="E227" s="6"/>
      <x:c r="F227" s="6"/>
      <x:c r="G227" s="6"/>
      <x:c r="H227" s="6"/>
      <x:c r="I227" s="6"/>
      <x:c r="J227" s="6"/>
      <x:c r="K227" s="6"/>
      <x:c r="L227" s="6"/>
      <x:c r="M227" s="6"/>
      <x:c r="N227" s="6"/>
      <x:c r="O227" s="6"/>
      <x:c r="P227" s="6"/>
      <x:c r="Q227" s="6"/>
    </x:row>
    <x:row r="228" ht="19" customHeight="1">
      <x:c r="A228" s="6"/>
      <x:c r="B228" s="6"/>
      <x:c r="C228" s="6"/>
      <x:c r="D228" s="6"/>
      <x:c r="E228" s="6"/>
      <x:c r="F228" s="6"/>
      <x:c r="G228" s="6"/>
      <x:c r="H228" s="6"/>
      <x:c r="I228" s="6"/>
      <x:c r="J228" s="6"/>
      <x:c r="K228" s="6"/>
      <x:c r="L228" s="6"/>
      <x:c r="M228" s="6"/>
      <x:c r="N228" s="6"/>
      <x:c r="O228" s="6"/>
      <x:c r="P228" s="6"/>
      <x:c r="Q228" s="6"/>
    </x:row>
    <x:row r="229" ht="19" customHeight="1">
      <x:c r="A229" s="6"/>
      <x:c r="B229" s="6"/>
      <x:c r="C229" s="6"/>
      <x:c r="D229" s="6"/>
      <x:c r="E229" s="6"/>
      <x:c r="F229" s="6"/>
      <x:c r="G229" s="6"/>
      <x:c r="H229" s="6"/>
      <x:c r="I229" s="6"/>
      <x:c r="J229" s="6"/>
      <x:c r="K229" s="6"/>
      <x:c r="L229" s="6"/>
      <x:c r="M229" s="6"/>
      <x:c r="N229" s="6"/>
      <x:c r="O229" s="6"/>
      <x:c r="P229" s="6"/>
      <x:c r="Q229" s="6"/>
    </x:row>
    <x:row r="230" ht="19" customHeight="1">
      <x:c r="A230" s="6"/>
      <x:c r="B230" s="6"/>
      <x:c r="C230" s="6"/>
      <x:c r="D230" s="6"/>
      <x:c r="E230" s="6"/>
      <x:c r="F230" s="6"/>
      <x:c r="G230" s="6"/>
      <x:c r="H230" s="6"/>
      <x:c r="I230" s="6"/>
      <x:c r="J230" s="6"/>
      <x:c r="K230" s="6"/>
      <x:c r="L230" s="6"/>
      <x:c r="M230" s="6"/>
      <x:c r="N230" s="6"/>
      <x:c r="O230" s="6"/>
      <x:c r="P230" s="6"/>
      <x:c r="Q230" s="6"/>
    </x:row>
    <x:row r="231" ht="19" customHeight="1">
      <x:c r="A231" s="6"/>
      <x:c r="B231" s="6"/>
      <x:c r="C231" s="6"/>
      <x:c r="D231" s="6"/>
      <x:c r="E231" s="6"/>
      <x:c r="F231" s="6"/>
      <x:c r="G231" s="6"/>
      <x:c r="H231" s="6"/>
      <x:c r="I231" s="6"/>
      <x:c r="J231" s="6"/>
      <x:c r="K231" s="6"/>
      <x:c r="L231" s="6"/>
      <x:c r="M231" s="6"/>
      <x:c r="N231" s="6"/>
      <x:c r="O231" s="6"/>
      <x:c r="P231" s="6"/>
      <x:c r="Q231" s="6"/>
    </x:row>
    <x:row r="232" ht="19" customHeight="1">
      <x:c r="A232" s="6"/>
      <x:c r="B232" s="6"/>
      <x:c r="C232" s="6"/>
      <x:c r="D232" s="6"/>
      <x:c r="E232" s="6"/>
      <x:c r="F232" s="6"/>
      <x:c r="G232" s="6"/>
      <x:c r="H232" s="6"/>
      <x:c r="I232" s="6"/>
      <x:c r="J232" s="6"/>
      <x:c r="K232" s="6"/>
      <x:c r="L232" s="6"/>
      <x:c r="M232" s="6"/>
      <x:c r="N232" s="6"/>
      <x:c r="O232" s="6"/>
      <x:c r="P232" s="6"/>
      <x:c r="Q232" s="6"/>
    </x:row>
    <x:row r="233" ht="19" customHeight="1">
      <x:c r="A233" s="6"/>
      <x:c r="B233" s="6"/>
      <x:c r="C233" s="6"/>
      <x:c r="D233" s="6"/>
      <x:c r="E233" s="6"/>
      <x:c r="F233" s="6"/>
      <x:c r="G233" s="6"/>
      <x:c r="H233" s="6"/>
      <x:c r="I233" s="6"/>
      <x:c r="J233" s="6"/>
      <x:c r="K233" s="6"/>
      <x:c r="L233" s="6"/>
      <x:c r="M233" s="6"/>
      <x:c r="N233" s="6"/>
      <x:c r="O233" s="6"/>
      <x:c r="P233" s="6"/>
      <x:c r="Q233" s="6"/>
    </x:row>
    <x:row r="234" ht="19" customHeight="1">
      <x:c r="A234" s="6"/>
      <x:c r="B234" s="6"/>
      <x:c r="C234" s="6"/>
      <x:c r="D234" s="6"/>
      <x:c r="E234" s="6"/>
      <x:c r="F234" s="6"/>
      <x:c r="G234" s="6"/>
      <x:c r="H234" s="6"/>
      <x:c r="I234" s="6"/>
      <x:c r="J234" s="6"/>
      <x:c r="K234" s="6"/>
      <x:c r="L234" s="6"/>
      <x:c r="M234" s="6"/>
      <x:c r="N234" s="6"/>
      <x:c r="O234" s="6"/>
      <x:c r="P234" s="6"/>
      <x:c r="Q234" s="6"/>
    </x:row>
    <x:row r="235" ht="19" customHeight="1">
      <x:c r="A235" s="6"/>
      <x:c r="B235" s="6"/>
      <x:c r="C235" s="6"/>
      <x:c r="D235" s="6"/>
      <x:c r="E235" s="6"/>
      <x:c r="F235" s="6"/>
      <x:c r="G235" s="6"/>
      <x:c r="H235" s="6"/>
      <x:c r="I235" s="6"/>
      <x:c r="J235" s="6"/>
      <x:c r="K235" s="6"/>
      <x:c r="L235" s="6"/>
      <x:c r="M235" s="6"/>
      <x:c r="N235" s="6"/>
      <x:c r="O235" s="6"/>
      <x:c r="P235" s="6"/>
      <x:c r="Q235" s="6"/>
    </x:row>
    <x:row r="236" ht="19" customHeight="1">
      <x:c r="A236" s="6"/>
      <x:c r="B236" s="6"/>
      <x:c r="C236" s="6"/>
      <x:c r="D236" s="6"/>
      <x:c r="E236" s="6"/>
      <x:c r="F236" s="6"/>
      <x:c r="G236" s="6"/>
      <x:c r="H236" s="6"/>
      <x:c r="I236" s="6"/>
      <x:c r="J236" s="6"/>
      <x:c r="K236" s="6"/>
      <x:c r="L236" s="6"/>
      <x:c r="M236" s="6"/>
      <x:c r="N236" s="6"/>
      <x:c r="O236" s="6"/>
      <x:c r="P236" s="6"/>
      <x:c r="Q236" s="6"/>
    </x:row>
    <x:row r="237" ht="19" customHeight="1">
      <x:c r="A237" s="6"/>
      <x:c r="B237" s="6"/>
      <x:c r="C237" s="6"/>
      <x:c r="D237" s="6"/>
      <x:c r="E237" s="6"/>
      <x:c r="F237" s="6"/>
      <x:c r="G237" s="6"/>
      <x:c r="H237" s="6"/>
      <x:c r="I237" s="6"/>
      <x:c r="J237" s="6"/>
      <x:c r="K237" s="6"/>
      <x:c r="L237" s="6"/>
      <x:c r="M237" s="6"/>
      <x:c r="N237" s="6"/>
      <x:c r="O237" s="6"/>
      <x:c r="P237" s="6"/>
      <x:c r="Q237" s="6"/>
    </x:row>
    <x:row r="238" ht="19" customHeight="1">
      <x:c r="A238" s="6"/>
      <x:c r="B238" s="6"/>
      <x:c r="C238" s="6"/>
      <x:c r="D238" s="6"/>
      <x:c r="E238" s="6"/>
      <x:c r="F238" s="6"/>
      <x:c r="G238" s="6"/>
      <x:c r="H238" s="6"/>
      <x:c r="I238" s="6"/>
      <x:c r="J238" s="6"/>
      <x:c r="K238" s="6"/>
      <x:c r="L238" s="6"/>
      <x:c r="M238" s="6"/>
      <x:c r="N238" s="6"/>
      <x:c r="O238" s="6"/>
      <x:c r="P238" s="6"/>
      <x:c r="Q238" s="6"/>
    </x:row>
    <x:row r="239" ht="19" customHeight="1">
      <x:c r="A239" s="6"/>
      <x:c r="B239" s="6"/>
      <x:c r="C239" s="6"/>
      <x:c r="D239" s="6"/>
      <x:c r="E239" s="6"/>
      <x:c r="F239" s="6"/>
      <x:c r="G239" s="6"/>
      <x:c r="H239" s="6"/>
      <x:c r="I239" s="6"/>
      <x:c r="J239" s="6"/>
      <x:c r="K239" s="6"/>
      <x:c r="L239" s="6"/>
      <x:c r="M239" s="6"/>
      <x:c r="N239" s="6"/>
      <x:c r="O239" s="6"/>
      <x:c r="P239" s="6"/>
      <x:c r="Q239" s="6"/>
    </x:row>
    <x:row r="240" ht="19" customHeight="1">
      <x:c r="A240" s="6"/>
      <x:c r="B240" s="6"/>
      <x:c r="C240" s="6"/>
      <x:c r="D240" s="6"/>
      <x:c r="E240" s="6"/>
      <x:c r="F240" s="6"/>
      <x:c r="G240" s="6"/>
      <x:c r="H240" s="6"/>
      <x:c r="I240" s="6"/>
      <x:c r="J240" s="6"/>
      <x:c r="K240" s="6"/>
      <x:c r="L240" s="6"/>
      <x:c r="M240" s="6"/>
      <x:c r="N240" s="6"/>
      <x:c r="O240" s="6"/>
      <x:c r="P240" s="6"/>
      <x:c r="Q240" s="6"/>
    </x:row>
    <x:row r="241" ht="19" customHeight="1">
      <x:c r="A241" s="6"/>
      <x:c r="B241" s="6"/>
      <x:c r="C241" s="6"/>
      <x:c r="D241" s="6"/>
      <x:c r="E241" s="6"/>
      <x:c r="F241" s="6"/>
      <x:c r="G241" s="6"/>
      <x:c r="H241" s="6"/>
      <x:c r="I241" s="6"/>
      <x:c r="J241" s="6"/>
      <x:c r="K241" s="6"/>
      <x:c r="L241" s="6"/>
      <x:c r="M241" s="6"/>
      <x:c r="N241" s="6"/>
      <x:c r="O241" s="6"/>
      <x:c r="P241" s="6"/>
      <x:c r="Q241" s="6"/>
    </x:row>
    <x:row r="242" ht="19" customHeight="1">
      <x:c r="A242" s="6"/>
      <x:c r="B242" s="6"/>
      <x:c r="C242" s="6"/>
      <x:c r="D242" s="6"/>
      <x:c r="E242" s="6"/>
      <x:c r="F242" s="6"/>
      <x:c r="G242" s="6"/>
      <x:c r="H242" s="6"/>
      <x:c r="I242" s="6"/>
      <x:c r="J242" s="6"/>
      <x:c r="K242" s="6"/>
      <x:c r="L242" s="6"/>
      <x:c r="M242" s="6"/>
      <x:c r="N242" s="6"/>
      <x:c r="O242" s="6"/>
      <x:c r="P242" s="6"/>
      <x:c r="Q242" s="6"/>
    </x:row>
    <x:row r="243" ht="19" customHeight="1">
      <x:c r="A243" s="6"/>
      <x:c r="B243" s="6"/>
      <x:c r="C243" s="6"/>
      <x:c r="D243" s="6"/>
      <x:c r="E243" s="6"/>
      <x:c r="F243" s="6"/>
      <x:c r="G243" s="6"/>
      <x:c r="H243" s="6"/>
      <x:c r="I243" s="6"/>
      <x:c r="J243" s="6"/>
      <x:c r="K243" s="6"/>
      <x:c r="L243" s="6"/>
      <x:c r="M243" s="6"/>
      <x:c r="N243" s="6"/>
      <x:c r="O243" s="6"/>
      <x:c r="P243" s="6"/>
      <x:c r="Q243" s="6"/>
    </x:row>
    <x:row r="244" ht="19" customHeight="1">
      <x:c r="A244" s="6"/>
      <x:c r="B244" s="6"/>
      <x:c r="C244" s="6"/>
      <x:c r="D244" s="6"/>
      <x:c r="E244" s="6"/>
      <x:c r="F244" s="6"/>
      <x:c r="G244" s="6"/>
      <x:c r="H244" s="6"/>
      <x:c r="I244" s="6"/>
      <x:c r="J244" s="6"/>
      <x:c r="K244" s="6"/>
      <x:c r="L244" s="6"/>
      <x:c r="M244" s="6"/>
      <x:c r="N244" s="6"/>
      <x:c r="O244" s="6"/>
      <x:c r="P244" s="6"/>
      <x:c r="Q244" s="6"/>
    </x:row>
    <x:row r="245" ht="19" customHeight="1">
      <x:c r="A245" s="6"/>
      <x:c r="B245" s="6"/>
      <x:c r="C245" s="6"/>
      <x:c r="D245" s="6"/>
      <x:c r="E245" s="6"/>
      <x:c r="F245" s="6"/>
      <x:c r="G245" s="6"/>
      <x:c r="H245" s="6"/>
      <x:c r="I245" s="6"/>
      <x:c r="J245" s="6"/>
      <x:c r="K245" s="6"/>
      <x:c r="L245" s="6"/>
      <x:c r="M245" s="6"/>
      <x:c r="N245" s="6"/>
      <x:c r="O245" s="6"/>
      <x:c r="P245" s="6"/>
      <x:c r="Q245" s="6"/>
    </x:row>
    <x:row r="246" ht="19" customHeight="1">
      <x:c r="A246" s="6"/>
      <x:c r="B246" s="6"/>
      <x:c r="C246" s="6"/>
      <x:c r="D246" s="6"/>
      <x:c r="E246" s="6"/>
      <x:c r="F246" s="6"/>
      <x:c r="G246" s="6"/>
      <x:c r="H246" s="6"/>
      <x:c r="I246" s="6"/>
      <x:c r="J246" s="6"/>
      <x:c r="K246" s="6"/>
      <x:c r="L246" s="6"/>
      <x:c r="M246" s="6"/>
      <x:c r="N246" s="6"/>
      <x:c r="O246" s="6"/>
      <x:c r="P246" s="6"/>
      <x:c r="Q246" s="6"/>
    </x:row>
    <x:row r="247" ht="19" customHeight="1">
      <x:c r="A247" s="6"/>
      <x:c r="B247" s="6"/>
      <x:c r="C247" s="6"/>
      <x:c r="D247" s="6"/>
      <x:c r="E247" s="6"/>
      <x:c r="F247" s="6"/>
      <x:c r="G247" s="6"/>
      <x:c r="H247" s="6"/>
      <x:c r="I247" s="6"/>
      <x:c r="J247" s="6"/>
      <x:c r="K247" s="6"/>
      <x:c r="L247" s="6"/>
      <x:c r="M247" s="6"/>
      <x:c r="N247" s="6"/>
      <x:c r="O247" s="6"/>
      <x:c r="P247" s="6"/>
      <x:c r="Q247" s="6"/>
    </x:row>
    <x:row r="248" ht="19" customHeight="1">
      <x:c r="A248" s="6"/>
      <x:c r="B248" s="6"/>
      <x:c r="C248" s="6"/>
      <x:c r="D248" s="6"/>
      <x:c r="E248" s="6"/>
      <x:c r="F248" s="6"/>
      <x:c r="G248" s="6"/>
      <x:c r="H248" s="6"/>
      <x:c r="I248" s="6"/>
      <x:c r="J248" s="6"/>
      <x:c r="K248" s="6"/>
      <x:c r="L248" s="6"/>
      <x:c r="M248" s="6"/>
      <x:c r="N248" s="6"/>
      <x:c r="O248" s="6"/>
      <x:c r="P248" s="6"/>
      <x:c r="Q248" s="6"/>
    </x:row>
    <x:row r="249" ht="19" customHeight="1">
      <x:c r="A249" s="6"/>
      <x:c r="B249" s="6"/>
      <x:c r="C249" s="6"/>
      <x:c r="D249" s="6"/>
      <x:c r="E249" s="6"/>
      <x:c r="F249" s="6"/>
      <x:c r="G249" s="6"/>
      <x:c r="H249" s="6"/>
      <x:c r="I249" s="6"/>
      <x:c r="J249" s="6"/>
      <x:c r="K249" s="6"/>
      <x:c r="L249" s="6"/>
      <x:c r="M249" s="6"/>
      <x:c r="N249" s="6"/>
      <x:c r="O249" s="6"/>
      <x:c r="P249" s="6"/>
      <x:c r="Q249" s="6"/>
    </x:row>
    <x:row r="250" ht="19" customHeight="1">
      <x:c r="A250" s="6"/>
      <x:c r="B250" s="6"/>
      <x:c r="C250" s="6"/>
      <x:c r="D250" s="6"/>
      <x:c r="E250" s="6"/>
      <x:c r="F250" s="6"/>
      <x:c r="G250" s="6"/>
      <x:c r="H250" s="6"/>
      <x:c r="I250" s="6"/>
      <x:c r="J250" s="6"/>
      <x:c r="K250" s="6"/>
      <x:c r="L250" s="6"/>
      <x:c r="M250" s="6"/>
      <x:c r="N250" s="6"/>
      <x:c r="O250" s="6"/>
      <x:c r="P250" s="6"/>
      <x:c r="Q250" s="6"/>
    </x:row>
    <x:row r="251" ht="19" customHeight="1">
      <x:c r="A251" s="6"/>
      <x:c r="B251" s="6"/>
      <x:c r="C251" s="6"/>
      <x:c r="D251" s="6"/>
      <x:c r="E251" s="6"/>
      <x:c r="F251" s="6"/>
      <x:c r="G251" s="6"/>
      <x:c r="H251" s="6"/>
      <x:c r="I251" s="6"/>
      <x:c r="J251" s="6"/>
      <x:c r="K251" s="6"/>
      <x:c r="L251" s="6"/>
      <x:c r="M251" s="6"/>
      <x:c r="N251" s="6"/>
      <x:c r="O251" s="6"/>
      <x:c r="P251" s="6"/>
      <x:c r="Q251" s="6"/>
    </x:row>
    <x:row r="252" ht="19" customHeight="1">
      <x:c r="A252" s="6"/>
      <x:c r="B252" s="6"/>
      <x:c r="C252" s="6"/>
      <x:c r="D252" s="6"/>
      <x:c r="E252" s="6"/>
      <x:c r="F252" s="6"/>
      <x:c r="G252" s="6"/>
      <x:c r="H252" s="6"/>
      <x:c r="I252" s="6"/>
      <x:c r="J252" s="6"/>
      <x:c r="K252" s="6"/>
      <x:c r="L252" s="6"/>
      <x:c r="M252" s="6"/>
      <x:c r="N252" s="6"/>
      <x:c r="O252" s="6"/>
      <x:c r="P252" s="6"/>
      <x:c r="Q252" s="6"/>
    </x:row>
    <x:row r="253" ht="19" customHeight="1">
      <x:c r="A253" s="6"/>
      <x:c r="B253" s="6"/>
      <x:c r="C253" s="6"/>
      <x:c r="D253" s="6"/>
      <x:c r="E253" s="6"/>
      <x:c r="F253" s="6"/>
      <x:c r="G253" s="6"/>
      <x:c r="H253" s="6"/>
      <x:c r="I253" s="6"/>
      <x:c r="J253" s="6"/>
      <x:c r="K253" s="6"/>
      <x:c r="L253" s="6"/>
      <x:c r="M253" s="6"/>
      <x:c r="N253" s="6"/>
      <x:c r="O253" s="6"/>
      <x:c r="P253" s="6"/>
      <x:c r="Q253" s="6"/>
    </x:row>
    <x:row r="254" ht="19" customHeight="1">
      <x:c r="A254" s="6"/>
      <x:c r="B254" s="6"/>
      <x:c r="C254" s="6"/>
      <x:c r="D254" s="6"/>
      <x:c r="E254" s="6"/>
      <x:c r="F254" s="6"/>
      <x:c r="G254" s="6"/>
      <x:c r="H254" s="6"/>
      <x:c r="I254" s="6"/>
      <x:c r="J254" s="6"/>
      <x:c r="K254" s="6"/>
      <x:c r="L254" s="6"/>
      <x:c r="M254" s="6"/>
      <x:c r="N254" s="6"/>
      <x:c r="O254" s="6"/>
      <x:c r="P254" s="6"/>
      <x:c r="Q254" s="6"/>
    </x:row>
    <x:row r="255" ht="19" customHeight="1">
      <x:c r="A255" s="6"/>
      <x:c r="B255" s="6"/>
      <x:c r="C255" s="6"/>
      <x:c r="D255" s="6"/>
      <x:c r="E255" s="6"/>
      <x:c r="F255" s="6"/>
      <x:c r="G255" s="6"/>
      <x:c r="H255" s="6"/>
      <x:c r="I255" s="6"/>
      <x:c r="J255" s="6"/>
      <x:c r="K255" s="6"/>
      <x:c r="L255" s="6"/>
      <x:c r="M255" s="6"/>
      <x:c r="N255" s="6"/>
      <x:c r="O255" s="6"/>
      <x:c r="P255" s="6"/>
      <x:c r="Q255" s="6"/>
    </x:row>
    <x:row r="256" ht="19" customHeight="1">
      <x:c r="A256" s="6"/>
      <x:c r="B256" s="6"/>
      <x:c r="C256" s="6"/>
      <x:c r="D256" s="6"/>
      <x:c r="E256" s="6"/>
      <x:c r="F256" s="6"/>
      <x:c r="G256" s="6"/>
      <x:c r="H256" s="6"/>
      <x:c r="I256" s="6"/>
      <x:c r="J256" s="6"/>
      <x:c r="K256" s="6"/>
      <x:c r="L256" s="6"/>
      <x:c r="M256" s="6"/>
      <x:c r="N256" s="6"/>
      <x:c r="O256" s="6"/>
      <x:c r="P256" s="6"/>
      <x:c r="Q256" s="6"/>
    </x:row>
    <x:row r="257" ht="19" customHeight="1">
      <x:c r="A257" s="6"/>
      <x:c r="B257" s="6"/>
      <x:c r="C257" s="6"/>
      <x:c r="D257" s="6"/>
      <x:c r="E257" s="6"/>
      <x:c r="F257" s="6"/>
      <x:c r="G257" s="6"/>
      <x:c r="H257" s="6"/>
      <x:c r="I257" s="6"/>
      <x:c r="J257" s="6"/>
      <x:c r="K257" s="6"/>
      <x:c r="L257" s="6"/>
      <x:c r="M257" s="6"/>
      <x:c r="N257" s="6"/>
      <x:c r="O257" s="6"/>
      <x:c r="P257" s="6"/>
      <x:c r="Q257" s="6"/>
    </x:row>
    <x:row r="258" ht="19" customHeight="1">
      <x:c r="A258" s="6"/>
      <x:c r="B258" s="6"/>
      <x:c r="C258" s="6"/>
      <x:c r="D258" s="6"/>
      <x:c r="E258" s="6"/>
      <x:c r="F258" s="6"/>
      <x:c r="G258" s="6"/>
      <x:c r="H258" s="6"/>
      <x:c r="I258" s="6"/>
      <x:c r="J258" s="6"/>
      <x:c r="K258" s="6"/>
      <x:c r="L258" s="6"/>
      <x:c r="M258" s="6"/>
      <x:c r="N258" s="6"/>
      <x:c r="O258" s="6"/>
      <x:c r="P258" s="6"/>
      <x:c r="Q258" s="6"/>
    </x:row>
    <x:row r="259" ht="19" customHeight="1">
      <x:c r="A259" s="6"/>
      <x:c r="B259" s="6"/>
      <x:c r="C259" s="6"/>
      <x:c r="D259" s="6"/>
      <x:c r="E259" s="6"/>
      <x:c r="F259" s="6"/>
      <x:c r="G259" s="6"/>
      <x:c r="H259" s="6"/>
      <x:c r="I259" s="6"/>
      <x:c r="J259" s="6"/>
      <x:c r="K259" s="6"/>
      <x:c r="L259" s="6"/>
      <x:c r="M259" s="6"/>
      <x:c r="N259" s="6"/>
      <x:c r="O259" s="6"/>
      <x:c r="P259" s="6"/>
      <x:c r="Q259" s="6"/>
    </x:row>
    <x:row r="260" ht="19" customHeight="1">
      <x:c r="A260" s="6"/>
      <x:c r="B260" s="6"/>
      <x:c r="C260" s="6"/>
      <x:c r="D260" s="6"/>
      <x:c r="E260" s="6"/>
      <x:c r="F260" s="6"/>
      <x:c r="G260" s="6"/>
      <x:c r="H260" s="6"/>
      <x:c r="I260" s="6"/>
      <x:c r="J260" s="6"/>
      <x:c r="K260" s="6"/>
      <x:c r="L260" s="6"/>
      <x:c r="M260" s="6"/>
      <x:c r="N260" s="6"/>
      <x:c r="O260" s="6"/>
      <x:c r="P260" s="6"/>
      <x:c r="Q260" s="6"/>
    </x:row>
  </x:sheetData>
  <x:mergeCells>
    <x:mergeCell ref="A1:Q2"/>
    <x:mergeCell ref="A3:Q3"/>
    <x:mergeCell ref="A4:Q4"/>
    <x:mergeCell ref="A12:Q12"/>
    <x:mergeCell ref="A35:Q35"/>
    <x:mergeCell ref="A43:Q4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25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9" hidden="0" customWidth="1"/>
  </x:cols>
  <x:sheetData>
    <x:row r="1" ht="24" customHeight="1">
      <x:c r="A1" s="10" t="str">
        <x:v>Индивидуальные попарные сравнения МАИ</x:v>
      </x:c>
      <x:c r="B1" s="10"/>
      <x:c r="C1" s="10"/>
      <x:c r="D1" s="10"/>
      <x:c r="E1" s="10"/>
      <x:c r="F1" s="10"/>
      <x:c r="G1" s="10"/>
      <x:c r="H1" s="10"/>
      <x:c r="I1" s="6"/>
      <x:c r="J1" s="6"/>
      <x:c r="K1" s="6"/>
      <x:c r="L1" s="6"/>
      <x:c r="M1" s="6"/>
      <x:c r="N1" s="6"/>
      <x:c r="O1" s="6"/>
      <x:c r="P1" s="6"/>
      <x:c r="Q1" s="6"/>
    </x:row>
    <x:row r="2" ht="24" customHeight="1">
      <x:c r="A2" s="10"/>
      <x:c r="B2" s="10"/>
      <x:c r="C2" s="10"/>
      <x:c r="D2" s="10"/>
      <x:c r="E2" s="10"/>
      <x:c r="F2" s="10"/>
      <x:c r="G2" s="10"/>
      <x:c r="H2" s="10"/>
      <x:c r="I2" s="6"/>
      <x:c r="J2" s="6"/>
      <x:c r="K2" s="6"/>
      <x:c r="L2" s="6"/>
      <x:c r="M2" s="6"/>
      <x:c r="N2" s="6"/>
      <x:c r="O2" s="6"/>
      <x:c r="P2" s="6"/>
      <x:c r="Q2" s="6"/>
    </x:row>
    <x:row r="3" ht="19" customHeight="1">
      <x:c r="A3" s="6" t="str">
        <x:v>Шкала Саати 1–9 и обратные значения. В колонке H — геометрическое среднее 3 суждений. Все входные суждения — учебный пример.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</x:row>
    <x:row r="4" ht="30" customHeight="1">
      <x:c r="A4" s="17" t="str">
        <x:v>Матрица</x:v>
      </x:c>
      <x:c r="B4" s="17" t="str">
        <x:v>Основание</x:v>
      </x:c>
      <x:c r="C4" s="17" t="str">
        <x:v>Слева</x:v>
      </x:c>
      <x:c r="D4" s="17" t="str">
        <x:v>Справа</x:v>
      </x:c>
      <x:c r="E4" s="17" t="str">
        <x:v>Участник 1</x:v>
      </x:c>
      <x:c r="F4" s="17" t="str">
        <x:v>Участник 2</x:v>
      </x:c>
      <x:c r="G4" s="17" t="str">
        <x:v>Участник 3</x:v>
      </x:c>
      <x:c r="H4" s="17" t="str">
        <x:v>Группа (геом. сред.)</x:v>
      </x:c>
      <x:c r="I4" s="6"/>
      <x:c r="J4" s="6"/>
      <x:c r="K4" s="6"/>
      <x:c r="L4" s="6"/>
      <x:c r="M4" s="6"/>
      <x:c r="N4" s="6"/>
      <x:c r="O4" s="6"/>
      <x:c r="P4" s="6"/>
      <x:c r="Q4" s="6"/>
    </x:row>
    <x:row r="5" ht="19" customHeight="1">
      <x:c r="A5" s="6" t="str">
        <x:v>Критерии</x:v>
      </x:c>
      <x:c r="B5" s="22" t="str">
        <x:v>Важность критериев</x:v>
      </x:c>
      <x:c r="C5" s="6" t="str">
        <x:v>K1</x:v>
      </x:c>
      <x:c r="D5" s="6" t="str">
        <x:v>K2</x:v>
      </x:c>
      <x:c r="E5" s="40" t="n">
        <x:v>1</x:v>
      </x:c>
      <x:c r="F5" s="40" t="n">
        <x:v>1</x:v>
      </x:c>
      <x:c r="G5" s="40" t="n">
        <x:v>1</x:v>
      </x:c>
      <x:c r="H5" s="41" t="n">
        <x:f>(E5*F5*G5)^(1/3)</x:f>
        <x:v>1</x:v>
      </x:c>
      <x:c r="I5" s="6"/>
      <x:c r="J5" s="6"/>
      <x:c r="K5" s="6"/>
      <x:c r="L5" s="6"/>
      <x:c r="M5" s="6"/>
      <x:c r="N5" s="6"/>
      <x:c r="O5" s="6"/>
      <x:c r="P5" s="6"/>
      <x:c r="Q5" s="6"/>
    </x:row>
    <x:row r="6" ht="19" customHeight="1">
      <x:c r="A6" s="6" t="str">
        <x:v>Критерии</x:v>
      </x:c>
      <x:c r="B6" s="22" t="str">
        <x:v>Важность критериев</x:v>
      </x:c>
      <x:c r="C6" s="6" t="str">
        <x:v>K1</x:v>
      </x:c>
      <x:c r="D6" s="6" t="str">
        <x:v>K3</x:v>
      </x:c>
      <x:c r="E6" s="40" t="n">
        <x:v>2</x:v>
      </x:c>
      <x:c r="F6" s="40" t="n">
        <x:v>2</x:v>
      </x:c>
      <x:c r="G6" s="40" t="n">
        <x:v>2</x:v>
      </x:c>
      <x:c r="H6" s="41" t="n">
        <x:f>(E6*F6*G6)^(1/3)</x:f>
        <x:v>2</x:v>
      </x:c>
      <x:c r="I6" s="6"/>
      <x:c r="J6" s="6"/>
      <x:c r="K6" s="6"/>
      <x:c r="L6" s="6"/>
      <x:c r="M6" s="6"/>
      <x:c r="N6" s="6"/>
      <x:c r="O6" s="6"/>
      <x:c r="P6" s="6"/>
      <x:c r="Q6" s="6"/>
    </x:row>
    <x:row r="7" ht="19" customHeight="1">
      <x:c r="A7" s="6" t="str">
        <x:v>Критерии</x:v>
      </x:c>
      <x:c r="B7" s="22" t="str">
        <x:v>Важность критериев</x:v>
      </x:c>
      <x:c r="C7" s="6" t="str">
        <x:v>K1</x:v>
      </x:c>
      <x:c r="D7" s="6" t="str">
        <x:v>K4</x:v>
      </x:c>
      <x:c r="E7" s="40" t="n">
        <x:v>3</x:v>
      </x:c>
      <x:c r="F7" s="40" t="n">
        <x:v>3</x:v>
      </x:c>
      <x:c r="G7" s="40" t="n">
        <x:v>4</x:v>
      </x:c>
      <x:c r="H7" s="41" t="n">
        <x:f>(E7*F7*G7)^(1/3)</x:f>
        <x:v>3.3019272488946263</x:v>
      </x:c>
      <x:c r="I7" s="6"/>
      <x:c r="J7" s="6"/>
      <x:c r="K7" s="6"/>
      <x:c r="L7" s="6"/>
      <x:c r="M7" s="6"/>
      <x:c r="N7" s="6"/>
      <x:c r="O7" s="6"/>
      <x:c r="P7" s="6"/>
      <x:c r="Q7" s="6"/>
    </x:row>
    <x:row r="8" ht="19" customHeight="1">
      <x:c r="A8" s="6" t="str">
        <x:v>Критерии</x:v>
      </x:c>
      <x:c r="B8" s="22" t="str">
        <x:v>Важность критериев</x:v>
      </x:c>
      <x:c r="C8" s="6" t="str">
        <x:v>K1</x:v>
      </x:c>
      <x:c r="D8" s="6" t="str">
        <x:v>K5</x:v>
      </x:c>
      <x:c r="E8" s="40" t="n">
        <x:v>4</x:v>
      </x:c>
      <x:c r="F8" s="40" t="n">
        <x:v>3</x:v>
      </x:c>
      <x:c r="G8" s="40" t="n">
        <x:v>3</x:v>
      </x:c>
      <x:c r="H8" s="41" t="n">
        <x:f>(E8*F8*G8)^(1/3)</x:f>
        <x:v>3.3019272488946263</x:v>
      </x:c>
      <x:c r="I8" s="6"/>
      <x:c r="J8" s="6"/>
      <x:c r="K8" s="6"/>
      <x:c r="L8" s="6"/>
      <x:c r="M8" s="6"/>
      <x:c r="N8" s="6"/>
      <x:c r="O8" s="6"/>
      <x:c r="P8" s="6"/>
      <x:c r="Q8" s="6"/>
    </x:row>
    <x:row r="9" ht="19" customHeight="1">
      <x:c r="A9" s="6" t="str">
        <x:v>Критерии</x:v>
      </x:c>
      <x:c r="B9" s="22" t="str">
        <x:v>Важность критериев</x:v>
      </x:c>
      <x:c r="C9" s="6" t="str">
        <x:v>K2</x:v>
      </x:c>
      <x:c r="D9" s="6" t="str">
        <x:v>K3</x:v>
      </x:c>
      <x:c r="E9" s="40" t="n">
        <x:v>2</x:v>
      </x:c>
      <x:c r="F9" s="40" t="n">
        <x:v>2</x:v>
      </x:c>
      <x:c r="G9" s="40" t="n">
        <x:v>2</x:v>
      </x:c>
      <x:c r="H9" s="41" t="n">
        <x:f>(E9*F9*G9)^(1/3)</x:f>
        <x:v>2</x:v>
      </x:c>
      <x:c r="I9" s="6"/>
      <x:c r="J9" s="6"/>
      <x:c r="K9" s="6"/>
      <x:c r="L9" s="6"/>
      <x:c r="M9" s="6"/>
      <x:c r="N9" s="6"/>
      <x:c r="O9" s="6"/>
      <x:c r="P9" s="6"/>
      <x:c r="Q9" s="6"/>
    </x:row>
    <x:row r="10" ht="19" customHeight="1">
      <x:c r="A10" s="6" t="str">
        <x:v>Критерии</x:v>
      </x:c>
      <x:c r="B10" s="22" t="str">
        <x:v>Важность критериев</x:v>
      </x:c>
      <x:c r="C10" s="6" t="str">
        <x:v>K2</x:v>
      </x:c>
      <x:c r="D10" s="6" t="str">
        <x:v>K4</x:v>
      </x:c>
      <x:c r="E10" s="40" t="n">
        <x:v>3</x:v>
      </x:c>
      <x:c r="F10" s="40" t="n">
        <x:v>3</x:v>
      </x:c>
      <x:c r="G10" s="40" t="n">
        <x:v>3</x:v>
      </x:c>
      <x:c r="H10" s="41" t="n">
        <x:f>(E10*F10*G10)^(1/3)</x:f>
        <x:v>3</x:v>
      </x:c>
      <x:c r="I10" s="6"/>
      <x:c r="J10" s="6"/>
      <x:c r="K10" s="6"/>
      <x:c r="L10" s="6"/>
      <x:c r="M10" s="6"/>
      <x:c r="N10" s="6"/>
      <x:c r="O10" s="6"/>
      <x:c r="P10" s="6"/>
      <x:c r="Q10" s="6"/>
    </x:row>
    <x:row r="11" ht="19" customHeight="1">
      <x:c r="A11" s="6" t="str">
        <x:v>Критерии</x:v>
      </x:c>
      <x:c r="B11" s="22" t="str">
        <x:v>Важность критериев</x:v>
      </x:c>
      <x:c r="C11" s="6" t="str">
        <x:v>K2</x:v>
      </x:c>
      <x:c r="D11" s="6" t="str">
        <x:v>K5</x:v>
      </x:c>
      <x:c r="E11" s="40" t="n">
        <x:v>4</x:v>
      </x:c>
      <x:c r="F11" s="40" t="n">
        <x:v>4</x:v>
      </x:c>
      <x:c r="G11" s="40" t="n">
        <x:v>3</x:v>
      </x:c>
      <x:c r="H11" s="41" t="n">
        <x:f>(E11*F11*G11)^(1/3)</x:f>
        <x:v>3.634241185664279</x:v>
      </x:c>
      <x:c r="I11" s="6"/>
      <x:c r="J11" s="6"/>
      <x:c r="K11" s="6"/>
      <x:c r="L11" s="6"/>
      <x:c r="M11" s="6"/>
      <x:c r="N11" s="6"/>
      <x:c r="O11" s="6"/>
      <x:c r="P11" s="6"/>
      <x:c r="Q11" s="6"/>
    </x:row>
    <x:row r="12" ht="19" customHeight="1">
      <x:c r="A12" s="6" t="str">
        <x:v>Критерии</x:v>
      </x:c>
      <x:c r="B12" s="22" t="str">
        <x:v>Важность критериев</x:v>
      </x:c>
      <x:c r="C12" s="6" t="str">
        <x:v>K3</x:v>
      </x:c>
      <x:c r="D12" s="6" t="str">
        <x:v>K4</x:v>
      </x:c>
      <x:c r="E12" s="40" t="n">
        <x:v>2</x:v>
      </x:c>
      <x:c r="F12" s="40" t="n">
        <x:v>2</x:v>
      </x:c>
      <x:c r="G12" s="40" t="n">
        <x:v>2</x:v>
      </x:c>
      <x:c r="H12" s="41" t="n">
        <x:f>(E12*F12*G12)^(1/3)</x:f>
        <x:v>2</x:v>
      </x:c>
      <x:c r="I12" s="6"/>
      <x:c r="J12" s="6"/>
      <x:c r="K12" s="6"/>
      <x:c r="L12" s="6"/>
      <x:c r="M12" s="6"/>
      <x:c r="N12" s="6"/>
      <x:c r="O12" s="6"/>
      <x:c r="P12" s="6"/>
      <x:c r="Q12" s="6"/>
    </x:row>
    <x:row r="13" ht="19" customHeight="1">
      <x:c r="A13" s="6" t="str">
        <x:v>Критерии</x:v>
      </x:c>
      <x:c r="B13" s="22" t="str">
        <x:v>Важность критериев</x:v>
      </x:c>
      <x:c r="C13" s="6" t="str">
        <x:v>K3</x:v>
      </x:c>
      <x:c r="D13" s="6" t="str">
        <x:v>K5</x:v>
      </x:c>
      <x:c r="E13" s="40" t="n">
        <x:v>3</x:v>
      </x:c>
      <x:c r="F13" s="40" t="n">
        <x:v>2</x:v>
      </x:c>
      <x:c r="G13" s="40" t="n">
        <x:v>3</x:v>
      </x:c>
      <x:c r="H13" s="41" t="n">
        <x:f>(E13*F13*G13)^(1/3)</x:f>
        <x:v>2.6207413942088964</x:v>
      </x:c>
      <x:c r="I13" s="6"/>
      <x:c r="J13" s="6"/>
      <x:c r="K13" s="6"/>
      <x:c r="L13" s="6"/>
      <x:c r="M13" s="6"/>
      <x:c r="N13" s="6"/>
      <x:c r="O13" s="6"/>
      <x:c r="P13" s="6"/>
      <x:c r="Q13" s="6"/>
    </x:row>
    <x:row r="14" ht="19" customHeight="1">
      <x:c r="A14" s="6" t="str">
        <x:v>Критерии</x:v>
      </x:c>
      <x:c r="B14" s="22" t="str">
        <x:v>Важность критериев</x:v>
      </x:c>
      <x:c r="C14" s="6" t="str">
        <x:v>K4</x:v>
      </x:c>
      <x:c r="D14" s="6" t="str">
        <x:v>K5</x:v>
      </x:c>
      <x:c r="E14" s="40" t="n">
        <x:v>2</x:v>
      </x:c>
      <x:c r="F14" s="40" t="n">
        <x:v>2</x:v>
      </x:c>
      <x:c r="G14" s="40" t="n">
        <x:v>2</x:v>
      </x:c>
      <x:c r="H14" s="41" t="n">
        <x:f>(E14*F14*G14)^(1/3)</x:f>
        <x:v>2</x:v>
      </x:c>
      <x:c r="I14" s="6"/>
      <x:c r="J14" s="6"/>
      <x:c r="K14" s="6"/>
      <x:c r="L14" s="6"/>
      <x:c r="M14" s="6"/>
      <x:c r="N14" s="6"/>
      <x:c r="O14" s="6"/>
      <x:c r="P14" s="6"/>
      <x:c r="Q14" s="6"/>
    </x:row>
    <x:row r="15" ht="19" customHeight="1">
      <x:c r="A15" s="6" t="str">
        <x:v>K1</x:v>
      </x:c>
      <x:c r="B15" s="22" t="str">
        <x:v>Ценность для студентов</x:v>
      </x:c>
      <x:c r="C15" s="6" t="str">
        <x:v>A1</x:v>
      </x:c>
      <x:c r="D15" s="6" t="str">
        <x:v>A2</x:v>
      </x:c>
      <x:c r="E15" s="40" t="n">
        <x:v>0.5</x:v>
      </x:c>
      <x:c r="F15" s="40" t="n">
        <x:v>0.5</x:v>
      </x:c>
      <x:c r="G15" s="40" t="n">
        <x:v>0.5</x:v>
      </x:c>
      <x:c r="H15" s="41" t="n">
        <x:f>(E15*F15*G15)^(1/3)</x:f>
        <x:v>0.5</x:v>
      </x:c>
      <x:c r="I15" s="6"/>
      <x:c r="J15" s="6"/>
      <x:c r="K15" s="6"/>
      <x:c r="L15" s="6"/>
      <x:c r="M15" s="6"/>
      <x:c r="N15" s="6"/>
      <x:c r="O15" s="6"/>
      <x:c r="P15" s="6"/>
      <x:c r="Q15" s="6"/>
    </x:row>
    <x:row r="16" ht="19" customHeight="1">
      <x:c r="A16" s="6" t="str">
        <x:v>K1</x:v>
      </x:c>
      <x:c r="B16" s="22" t="str">
        <x:v>Ценность для студентов</x:v>
      </x:c>
      <x:c r="C16" s="6" t="str">
        <x:v>A1</x:v>
      </x:c>
      <x:c r="D16" s="6" t="str">
        <x:v>A3</x:v>
      </x:c>
      <x:c r="E16" s="40" t="n">
        <x:v>2</x:v>
      </x:c>
      <x:c r="F16" s="40" t="n">
        <x:v>1</x:v>
      </x:c>
      <x:c r="G16" s="40" t="n">
        <x:v>2</x:v>
      </x:c>
      <x:c r="H16" s="41" t="n">
        <x:f>(E16*F16*G16)^(1/3)</x:f>
        <x:v>1.5874010519681994</x:v>
      </x:c>
      <x:c r="I16" s="6"/>
      <x:c r="J16" s="6"/>
      <x:c r="K16" s="6"/>
      <x:c r="L16" s="6"/>
      <x:c r="M16" s="6"/>
      <x:c r="N16" s="6"/>
      <x:c r="O16" s="6"/>
      <x:c r="P16" s="6"/>
      <x:c r="Q16" s="6"/>
    </x:row>
    <x:row r="17" ht="19" customHeight="1">
      <x:c r="A17" s="6" t="str">
        <x:v>K1</x:v>
      </x:c>
      <x:c r="B17" s="22" t="str">
        <x:v>Ценность для студентов</x:v>
      </x:c>
      <x:c r="C17" s="6" t="str">
        <x:v>A1</x:v>
      </x:c>
      <x:c r="D17" s="6" t="str">
        <x:v>A4</x:v>
      </x:c>
      <x:c r="E17" s="40" t="n">
        <x:v>1</x:v>
      </x:c>
      <x:c r="F17" s="40" t="n">
        <x:v>0.5</x:v>
      </x:c>
      <x:c r="G17" s="40" t="n">
        <x:v>0.5</x:v>
      </x:c>
      <x:c r="H17" s="41" t="n">
        <x:f>(E17*F17*G17)^(1/3)</x:f>
        <x:v>0.6299605249474366</x:v>
      </x:c>
      <x:c r="I17" s="6"/>
      <x:c r="J17" s="6"/>
      <x:c r="K17" s="6"/>
      <x:c r="L17" s="6"/>
      <x:c r="M17" s="6"/>
      <x:c r="N17" s="6"/>
      <x:c r="O17" s="6"/>
      <x:c r="P17" s="6"/>
      <x:c r="Q17" s="6"/>
    </x:row>
    <x:row r="18" ht="19" customHeight="1">
      <x:c r="A18" s="6" t="str">
        <x:v>K1</x:v>
      </x:c>
      <x:c r="B18" s="22" t="str">
        <x:v>Ценность для студентов</x:v>
      </x:c>
      <x:c r="C18" s="6" t="str">
        <x:v>A2</x:v>
      </x:c>
      <x:c r="D18" s="6" t="str">
        <x:v>A3</x:v>
      </x:c>
      <x:c r="E18" s="40" t="n">
        <x:v>3</x:v>
      </x:c>
      <x:c r="F18" s="40" t="n">
        <x:v>3</x:v>
      </x:c>
      <x:c r="G18" s="40" t="n">
        <x:v>4</x:v>
      </x:c>
      <x:c r="H18" s="41" t="n">
        <x:f>(E18*F18*G18)^(1/3)</x:f>
        <x:v>3.3019272488946263</x:v>
      </x:c>
      <x:c r="I18" s="6"/>
      <x:c r="J18" s="6"/>
      <x:c r="K18" s="6"/>
      <x:c r="L18" s="6"/>
      <x:c r="M18" s="6"/>
      <x:c r="N18" s="6"/>
      <x:c r="O18" s="6"/>
      <x:c r="P18" s="6"/>
      <x:c r="Q18" s="6"/>
    </x:row>
    <x:row r="19" ht="19" customHeight="1">
      <x:c r="A19" s="6" t="str">
        <x:v>K1</x:v>
      </x:c>
      <x:c r="B19" s="22" t="str">
        <x:v>Ценность для студентов</x:v>
      </x:c>
      <x:c r="C19" s="6" t="str">
        <x:v>A2</x:v>
      </x:c>
      <x:c r="D19" s="6" t="str">
        <x:v>A4</x:v>
      </x:c>
      <x:c r="E19" s="40" t="n">
        <x:v>2</x:v>
      </x:c>
      <x:c r="F19" s="40" t="n">
        <x:v>2</x:v>
      </x:c>
      <x:c r="G19" s="40" t="n">
        <x:v>2</x:v>
      </x:c>
      <x:c r="H19" s="41" t="n">
        <x:f>(E19*F19*G19)^(1/3)</x:f>
        <x:v>2</x:v>
      </x:c>
      <x:c r="I19" s="6"/>
      <x:c r="J19" s="6"/>
      <x:c r="K19" s="6"/>
      <x:c r="L19" s="6"/>
      <x:c r="M19" s="6"/>
      <x:c r="N19" s="6"/>
      <x:c r="O19" s="6"/>
      <x:c r="P19" s="6"/>
      <x:c r="Q19" s="6"/>
    </x:row>
    <x:row r="20" ht="19" customHeight="1">
      <x:c r="A20" s="6" t="str">
        <x:v>K1</x:v>
      </x:c>
      <x:c r="B20" s="22" t="str">
        <x:v>Ценность для студентов</x:v>
      </x:c>
      <x:c r="C20" s="6" t="str">
        <x:v>A3</x:v>
      </x:c>
      <x:c r="D20" s="6" t="str">
        <x:v>A4</x:v>
      </x:c>
      <x:c r="E20" s="40" t="n">
        <x:v>0.5</x:v>
      </x:c>
      <x:c r="F20" s="40" t="n">
        <x:v>0.5</x:v>
      </x:c>
      <x:c r="G20" s="40" t="n">
        <x:v>0.5</x:v>
      </x:c>
      <x:c r="H20" s="41" t="n">
        <x:f>(E20*F20*G20)^(1/3)</x:f>
        <x:v>0.5</x:v>
      </x:c>
      <x:c r="I20" s="6"/>
      <x:c r="J20" s="6"/>
      <x:c r="K20" s="6"/>
      <x:c r="L20" s="6"/>
      <x:c r="M20" s="6"/>
      <x:c r="N20" s="6"/>
      <x:c r="O20" s="6"/>
      <x:c r="P20" s="6"/>
      <x:c r="Q20" s="6"/>
    </x:row>
    <x:row r="21" ht="19" customHeight="1">
      <x:c r="A21" s="6" t="str">
        <x:v>K2</x:v>
      </x:c>
      <x:c r="B21" s="22" t="str">
        <x:v>Реализуемость MVP</x:v>
      </x:c>
      <x:c r="C21" s="6" t="str">
        <x:v>A1</x:v>
      </x:c>
      <x:c r="D21" s="6" t="str">
        <x:v>A2</x:v>
      </x:c>
      <x:c r="E21" s="40" t="n">
        <x:v>2</x:v>
      </x:c>
      <x:c r="F21" s="40" t="n">
        <x:v>2</x:v>
      </x:c>
      <x:c r="G21" s="40" t="n">
        <x:v>2</x:v>
      </x:c>
      <x:c r="H21" s="41" t="n">
        <x:f>(E21*F21*G21)^(1/3)</x:f>
        <x:v>2</x:v>
      </x:c>
      <x:c r="I21" s="6"/>
      <x:c r="J21" s="6"/>
      <x:c r="K21" s="6"/>
      <x:c r="L21" s="6"/>
      <x:c r="M21" s="6"/>
      <x:c r="N21" s="6"/>
      <x:c r="O21" s="6"/>
      <x:c r="P21" s="6"/>
      <x:c r="Q21" s="6"/>
    </x:row>
    <x:row r="22" ht="19" customHeight="1">
      <x:c r="A22" s="6" t="str">
        <x:v>K2</x:v>
      </x:c>
      <x:c r="B22" s="22" t="str">
        <x:v>Реализуемость MVP</x:v>
      </x:c>
      <x:c r="C22" s="6" t="str">
        <x:v>A1</x:v>
      </x:c>
      <x:c r="D22" s="6" t="str">
        <x:v>A3</x:v>
      </x:c>
      <x:c r="E22" s="40" t="n">
        <x:v>1</x:v>
      </x:c>
      <x:c r="F22" s="40" t="n">
        <x:v>1</x:v>
      </x:c>
      <x:c r="G22" s="40" t="n">
        <x:v>1</x:v>
      </x:c>
      <x:c r="H22" s="41" t="n">
        <x:f>(E22*F22*G22)^(1/3)</x:f>
        <x:v>1</x:v>
      </x:c>
      <x:c r="I22" s="6"/>
      <x:c r="J22" s="6"/>
      <x:c r="K22" s="6"/>
      <x:c r="L22" s="6"/>
      <x:c r="M22" s="6"/>
      <x:c r="N22" s="6"/>
      <x:c r="O22" s="6"/>
      <x:c r="P22" s="6"/>
      <x:c r="Q22" s="6"/>
    </x:row>
    <x:row r="23" ht="19" customHeight="1">
      <x:c r="A23" s="6" t="str">
        <x:v>K2</x:v>
      </x:c>
      <x:c r="B23" s="22" t="str">
        <x:v>Реализуемость MVP</x:v>
      </x:c>
      <x:c r="C23" s="6" t="str">
        <x:v>A1</x:v>
      </x:c>
      <x:c r="D23" s="6" t="str">
        <x:v>A4</x:v>
      </x:c>
      <x:c r="E23" s="40" t="n">
        <x:v>4</x:v>
      </x:c>
      <x:c r="F23" s="40" t="n">
        <x:v>4</x:v>
      </x:c>
      <x:c r="G23" s="40" t="n">
        <x:v>3</x:v>
      </x:c>
      <x:c r="H23" s="41" t="n">
        <x:f>(E23*F23*G23)^(1/3)</x:f>
        <x:v>3.634241185664279</x:v>
      </x:c>
      <x:c r="I23" s="6"/>
      <x:c r="J23" s="6"/>
      <x:c r="K23" s="6"/>
      <x:c r="L23" s="6"/>
      <x:c r="M23" s="6"/>
      <x:c r="N23" s="6"/>
      <x:c r="O23" s="6"/>
      <x:c r="P23" s="6"/>
      <x:c r="Q23" s="6"/>
    </x:row>
    <x:row r="24" ht="19" customHeight="1">
      <x:c r="A24" s="6" t="str">
        <x:v>K2</x:v>
      </x:c>
      <x:c r="B24" s="22" t="str">
        <x:v>Реализуемость MVP</x:v>
      </x:c>
      <x:c r="C24" s="6" t="str">
        <x:v>A2</x:v>
      </x:c>
      <x:c r="D24" s="6" t="str">
        <x:v>A3</x:v>
      </x:c>
      <x:c r="E24" s="40" t="n">
        <x:v>0.5</x:v>
      </x:c>
      <x:c r="F24" s="40" t="n">
        <x:v>0.5</x:v>
      </x:c>
      <x:c r="G24" s="40" t="n">
        <x:v>0.5</x:v>
      </x:c>
      <x:c r="H24" s="41" t="n">
        <x:f>(E24*F24*G24)^(1/3)</x:f>
        <x:v>0.5</x:v>
      </x:c>
      <x:c r="I24" s="6"/>
      <x:c r="J24" s="6"/>
      <x:c r="K24" s="6"/>
      <x:c r="L24" s="6"/>
      <x:c r="M24" s="6"/>
      <x:c r="N24" s="6"/>
      <x:c r="O24" s="6"/>
      <x:c r="P24" s="6"/>
      <x:c r="Q24" s="6"/>
    </x:row>
    <x:row r="25" ht="19" customHeight="1">
      <x:c r="A25" s="6" t="str">
        <x:v>K2</x:v>
      </x:c>
      <x:c r="B25" s="22" t="str">
        <x:v>Реализуемость MVP</x:v>
      </x:c>
      <x:c r="C25" s="6" t="str">
        <x:v>A2</x:v>
      </x:c>
      <x:c r="D25" s="6" t="str">
        <x:v>A4</x:v>
      </x:c>
      <x:c r="E25" s="40" t="n">
        <x:v>2</x:v>
      </x:c>
      <x:c r="F25" s="40" t="n">
        <x:v>3</x:v>
      </x:c>
      <x:c r="G25" s="40" t="n">
        <x:v>2</x:v>
      </x:c>
      <x:c r="H25" s="41" t="n">
        <x:f>(E25*F25*G25)^(1/3)</x:f>
        <x:v>2.2894284851066637</x:v>
      </x:c>
      <x:c r="I25" s="6"/>
      <x:c r="J25" s="6"/>
      <x:c r="K25" s="6"/>
      <x:c r="L25" s="6"/>
      <x:c r="M25" s="6"/>
      <x:c r="N25" s="6"/>
      <x:c r="O25" s="6"/>
      <x:c r="P25" s="6"/>
      <x:c r="Q25" s="6"/>
    </x:row>
    <x:row r="26" ht="19" customHeight="1">
      <x:c r="A26" s="6" t="str">
        <x:v>K2</x:v>
      </x:c>
      <x:c r="B26" s="22" t="str">
        <x:v>Реализуемость MVP</x:v>
      </x:c>
      <x:c r="C26" s="6" t="str">
        <x:v>A3</x:v>
      </x:c>
      <x:c r="D26" s="6" t="str">
        <x:v>A4</x:v>
      </x:c>
      <x:c r="E26" s="40" t="n">
        <x:v>4</x:v>
      </x:c>
      <x:c r="F26" s="40" t="n">
        <x:v>4</x:v>
      </x:c>
      <x:c r="G26" s="40" t="n">
        <x:v>4</x:v>
      </x:c>
      <x:c r="H26" s="41" t="n">
        <x:f>(E26*F26*G26)^(1/3)</x:f>
        <x:v>3.9999999999999996</x:v>
      </x:c>
      <x:c r="I26" s="6"/>
      <x:c r="J26" s="6"/>
      <x:c r="K26" s="6"/>
      <x:c r="L26" s="6"/>
      <x:c r="M26" s="6"/>
      <x:c r="N26" s="6"/>
      <x:c r="O26" s="6"/>
      <x:c r="P26" s="6"/>
      <x:c r="Q26" s="6"/>
    </x:row>
    <x:row r="27" ht="19" customHeight="1">
      <x:c r="A27" s="6" t="str">
        <x:v>K3</x:v>
      </x:c>
      <x:c r="B27" s="22" t="str">
        <x:v>Проверяемость и демо</x:v>
      </x:c>
      <x:c r="C27" s="6" t="str">
        <x:v>A1</x:v>
      </x:c>
      <x:c r="D27" s="6" t="str">
        <x:v>A2</x:v>
      </x:c>
      <x:c r="E27" s="40" t="n">
        <x:v>1</x:v>
      </x:c>
      <x:c r="F27" s="40" t="n">
        <x:v>1</x:v>
      </x:c>
      <x:c r="G27" s="40" t="n">
        <x:v>1</x:v>
      </x:c>
      <x:c r="H27" s="41" t="n">
        <x:f>(E27*F27*G27)^(1/3)</x:f>
        <x:v>1</x:v>
      </x:c>
      <x:c r="I27" s="6"/>
      <x:c r="J27" s="6"/>
      <x:c r="K27" s="6"/>
      <x:c r="L27" s="6"/>
      <x:c r="M27" s="6"/>
      <x:c r="N27" s="6"/>
      <x:c r="O27" s="6"/>
      <x:c r="P27" s="6"/>
      <x:c r="Q27" s="6"/>
    </x:row>
    <x:row r="28" ht="19" customHeight="1">
      <x:c r="A28" s="6" t="str">
        <x:v>K3</x:v>
      </x:c>
      <x:c r="B28" s="22" t="str">
        <x:v>Проверяемость и демо</x:v>
      </x:c>
      <x:c r="C28" s="6" t="str">
        <x:v>A1</x:v>
      </x:c>
      <x:c r="D28" s="6" t="str">
        <x:v>A3</x:v>
      </x:c>
      <x:c r="E28" s="40" t="n">
        <x:v>2</x:v>
      </x:c>
      <x:c r="F28" s="40" t="n">
        <x:v>2</x:v>
      </x:c>
      <x:c r="G28" s="40" t="n">
        <x:v>2</x:v>
      </x:c>
      <x:c r="H28" s="41" t="n">
        <x:f>(E28*F28*G28)^(1/3)</x:f>
        <x:v>2</x:v>
      </x:c>
      <x:c r="I28" s="6"/>
      <x:c r="J28" s="6"/>
      <x:c r="K28" s="6"/>
      <x:c r="L28" s="6"/>
      <x:c r="M28" s="6"/>
      <x:c r="N28" s="6"/>
      <x:c r="O28" s="6"/>
      <x:c r="P28" s="6"/>
      <x:c r="Q28" s="6"/>
    </x:row>
    <x:row r="29" ht="19" customHeight="1">
      <x:c r="A29" s="6" t="str">
        <x:v>K3</x:v>
      </x:c>
      <x:c r="B29" s="22" t="str">
        <x:v>Проверяемость и демо</x:v>
      </x:c>
      <x:c r="C29" s="6" t="str">
        <x:v>A1</x:v>
      </x:c>
      <x:c r="D29" s="6" t="str">
        <x:v>A4</x:v>
      </x:c>
      <x:c r="E29" s="40" t="n">
        <x:v>4</x:v>
      </x:c>
      <x:c r="F29" s="40" t="n">
        <x:v>3</x:v>
      </x:c>
      <x:c r="G29" s="40" t="n">
        <x:v>4</x:v>
      </x:c>
      <x:c r="H29" s="41" t="n">
        <x:f>(E29*F29*G29)^(1/3)</x:f>
        <x:v>3.634241185664279</x:v>
      </x:c>
      <x:c r="I29" s="6"/>
      <x:c r="J29" s="6"/>
      <x:c r="K29" s="6"/>
      <x:c r="L29" s="6"/>
      <x:c r="M29" s="6"/>
      <x:c r="N29" s="6"/>
      <x:c r="O29" s="6"/>
      <x:c r="P29" s="6"/>
      <x:c r="Q29" s="6"/>
    </x:row>
    <x:row r="30" ht="19" customHeight="1">
      <x:c r="A30" s="6" t="str">
        <x:v>K3</x:v>
      </x:c>
      <x:c r="B30" s="22" t="str">
        <x:v>Проверяемость и демо</x:v>
      </x:c>
      <x:c r="C30" s="6" t="str">
        <x:v>A2</x:v>
      </x:c>
      <x:c r="D30" s="6" t="str">
        <x:v>A3</x:v>
      </x:c>
      <x:c r="E30" s="40" t="n">
        <x:v>2</x:v>
      </x:c>
      <x:c r="F30" s="40" t="n">
        <x:v>2</x:v>
      </x:c>
      <x:c r="G30" s="40" t="n">
        <x:v>3</x:v>
      </x:c>
      <x:c r="H30" s="41" t="n">
        <x:f>(E30*F30*G30)^(1/3)</x:f>
        <x:v>2.2894284851066637</x:v>
      </x:c>
      <x:c r="I30" s="6"/>
      <x:c r="J30" s="6"/>
      <x:c r="K30" s="6"/>
      <x:c r="L30" s="6"/>
      <x:c r="M30" s="6"/>
      <x:c r="N30" s="6"/>
      <x:c r="O30" s="6"/>
      <x:c r="P30" s="6"/>
      <x:c r="Q30" s="6"/>
    </x:row>
    <x:row r="31" ht="19" customHeight="1">
      <x:c r="A31" s="6" t="str">
        <x:v>K3</x:v>
      </x:c>
      <x:c r="B31" s="22" t="str">
        <x:v>Проверяемость и демо</x:v>
      </x:c>
      <x:c r="C31" s="6" t="str">
        <x:v>A2</x:v>
      </x:c>
      <x:c r="D31" s="6" t="str">
        <x:v>A4</x:v>
      </x:c>
      <x:c r="E31" s="40" t="n">
        <x:v>4</x:v>
      </x:c>
      <x:c r="F31" s="40" t="n">
        <x:v>4</x:v>
      </x:c>
      <x:c r="G31" s="40" t="n">
        <x:v>4</x:v>
      </x:c>
      <x:c r="H31" s="41" t="n">
        <x:f>(E31*F31*G31)^(1/3)</x:f>
        <x:v>3.9999999999999996</x:v>
      </x:c>
      <x:c r="I31" s="6"/>
      <x:c r="J31" s="6"/>
      <x:c r="K31" s="6"/>
      <x:c r="L31" s="6"/>
      <x:c r="M31" s="6"/>
      <x:c r="N31" s="6"/>
      <x:c r="O31" s="6"/>
      <x:c r="P31" s="6"/>
      <x:c r="Q31" s="6"/>
    </x:row>
    <x:row r="32" ht="19" customHeight="1">
      <x:c r="A32" s="6" t="str">
        <x:v>K3</x:v>
      </x:c>
      <x:c r="B32" s="22" t="str">
        <x:v>Проверяемость и демо</x:v>
      </x:c>
      <x:c r="C32" s="6" t="str">
        <x:v>A3</x:v>
      </x:c>
      <x:c r="D32" s="6" t="str">
        <x:v>A4</x:v>
      </x:c>
      <x:c r="E32" s="40" t="n">
        <x:v>2</x:v>
      </x:c>
      <x:c r="F32" s="40" t="n">
        <x:v>2</x:v>
      </x:c>
      <x:c r="G32" s="40" t="n">
        <x:v>2</x:v>
      </x:c>
      <x:c r="H32" s="41" t="n">
        <x:f>(E32*F32*G32)^(1/3)</x:f>
        <x:v>2</x:v>
      </x:c>
      <x:c r="I32" s="6"/>
      <x:c r="J32" s="6"/>
      <x:c r="K32" s="6"/>
      <x:c r="L32" s="6"/>
      <x:c r="M32" s="6"/>
      <x:c r="N32" s="6"/>
      <x:c r="O32" s="6"/>
      <x:c r="P32" s="6"/>
      <x:c r="Q32" s="6"/>
    </x:row>
    <x:row r="33" ht="19" customHeight="1">
      <x:c r="A33" s="6" t="str">
        <x:v>K4</x:v>
      </x:c>
      <x:c r="B33" s="22" t="str">
        <x:v>Доступность тестовых данных</x:v>
      </x:c>
      <x:c r="C33" s="6" t="str">
        <x:v>A1</x:v>
      </x:c>
      <x:c r="D33" s="6" t="str">
        <x:v>A2</x:v>
      </x:c>
      <x:c r="E33" s="40" t="n">
        <x:v>1</x:v>
      </x:c>
      <x:c r="F33" s="40" t="n">
        <x:v>1</x:v>
      </x:c>
      <x:c r="G33" s="40" t="n">
        <x:v>1</x:v>
      </x:c>
      <x:c r="H33" s="41" t="n">
        <x:f>(E33*F33*G33)^(1/3)</x:f>
        <x:v>1</x:v>
      </x:c>
      <x:c r="I33" s="6"/>
      <x:c r="J33" s="6"/>
      <x:c r="K33" s="6"/>
      <x:c r="L33" s="6"/>
      <x:c r="M33" s="6"/>
      <x:c r="N33" s="6"/>
      <x:c r="O33" s="6"/>
      <x:c r="P33" s="6"/>
      <x:c r="Q33" s="6"/>
    </x:row>
    <x:row r="34" ht="19" customHeight="1">
      <x:c r="A34" s="6" t="str">
        <x:v>K4</x:v>
      </x:c>
      <x:c r="B34" s="22" t="str">
        <x:v>Доступность тестовых данных</x:v>
      </x:c>
      <x:c r="C34" s="6" t="str">
        <x:v>A1</x:v>
      </x:c>
      <x:c r="D34" s="6" t="str">
        <x:v>A3</x:v>
      </x:c>
      <x:c r="E34" s="40" t="n">
        <x:v>2</x:v>
      </x:c>
      <x:c r="F34" s="40" t="n">
        <x:v>2</x:v>
      </x:c>
      <x:c r="G34" s="40" t="n">
        <x:v>2</x:v>
      </x:c>
      <x:c r="H34" s="41" t="n">
        <x:f>(E34*F34*G34)^(1/3)</x:f>
        <x:v>2</x:v>
      </x:c>
      <x:c r="I34" s="6"/>
      <x:c r="J34" s="6"/>
      <x:c r="K34" s="6"/>
      <x:c r="L34" s="6"/>
      <x:c r="M34" s="6"/>
      <x:c r="N34" s="6"/>
      <x:c r="O34" s="6"/>
      <x:c r="P34" s="6"/>
      <x:c r="Q34" s="6"/>
    </x:row>
    <x:row r="35" ht="19" customHeight="1">
      <x:c r="A35" s="6" t="str">
        <x:v>K4</x:v>
      </x:c>
      <x:c r="B35" s="22" t="str">
        <x:v>Доступность тестовых данных</x:v>
      </x:c>
      <x:c r="C35" s="6" t="str">
        <x:v>A1</x:v>
      </x:c>
      <x:c r="D35" s="6" t="str">
        <x:v>A4</x:v>
      </x:c>
      <x:c r="E35" s="40" t="n">
        <x:v>3</x:v>
      </x:c>
      <x:c r="F35" s="40" t="n">
        <x:v>3</x:v>
      </x:c>
      <x:c r="G35" s="40" t="n">
        <x:v>4</x:v>
      </x:c>
      <x:c r="H35" s="41" t="n">
        <x:f>(E35*F35*G35)^(1/3)</x:f>
        <x:v>3.3019272488946263</x:v>
      </x:c>
      <x:c r="I35" s="6"/>
      <x:c r="J35" s="6"/>
      <x:c r="K35" s="6"/>
      <x:c r="L35" s="6"/>
      <x:c r="M35" s="6"/>
      <x:c r="N35" s="6"/>
      <x:c r="O35" s="6"/>
      <x:c r="P35" s="6"/>
      <x:c r="Q35" s="6"/>
    </x:row>
    <x:row r="36" ht="19" customHeight="1">
      <x:c r="A36" s="6" t="str">
        <x:v>K4</x:v>
      </x:c>
      <x:c r="B36" s="22" t="str">
        <x:v>Доступность тестовых данных</x:v>
      </x:c>
      <x:c r="C36" s="6" t="str">
        <x:v>A2</x:v>
      </x:c>
      <x:c r="D36" s="6" t="str">
        <x:v>A3</x:v>
      </x:c>
      <x:c r="E36" s="40" t="n">
        <x:v>2</x:v>
      </x:c>
      <x:c r="F36" s="40" t="n">
        <x:v>2</x:v>
      </x:c>
      <x:c r="G36" s="40" t="n">
        <x:v>2</x:v>
      </x:c>
      <x:c r="H36" s="41" t="n">
        <x:f>(E36*F36*G36)^(1/3)</x:f>
        <x:v>2</x:v>
      </x:c>
      <x:c r="I36" s="6"/>
      <x:c r="J36" s="6"/>
      <x:c r="K36" s="6"/>
      <x:c r="L36" s="6"/>
      <x:c r="M36" s="6"/>
      <x:c r="N36" s="6"/>
      <x:c r="O36" s="6"/>
      <x:c r="P36" s="6"/>
      <x:c r="Q36" s="6"/>
    </x:row>
    <x:row r="37" ht="19" customHeight="1">
      <x:c r="A37" s="6" t="str">
        <x:v>K4</x:v>
      </x:c>
      <x:c r="B37" s="22" t="str">
        <x:v>Доступность тестовых данных</x:v>
      </x:c>
      <x:c r="C37" s="6" t="str">
        <x:v>A2</x:v>
      </x:c>
      <x:c r="D37" s="6" t="str">
        <x:v>A4</x:v>
      </x:c>
      <x:c r="E37" s="40" t="n">
        <x:v>3</x:v>
      </x:c>
      <x:c r="F37" s="40" t="n">
        <x:v>4</x:v>
      </x:c>
      <x:c r="G37" s="40" t="n">
        <x:v>3</x:v>
      </x:c>
      <x:c r="H37" s="41" t="n">
        <x:f>(E37*F37*G37)^(1/3)</x:f>
        <x:v>3.3019272488946263</x:v>
      </x:c>
      <x:c r="I37" s="6"/>
      <x:c r="J37" s="6"/>
      <x:c r="K37" s="6"/>
      <x:c r="L37" s="6"/>
      <x:c r="M37" s="6"/>
      <x:c r="N37" s="6"/>
      <x:c r="O37" s="6"/>
      <x:c r="P37" s="6"/>
      <x:c r="Q37" s="6"/>
    </x:row>
    <x:row r="38" ht="19" customHeight="1">
      <x:c r="A38" s="6" t="str">
        <x:v>K4</x:v>
      </x:c>
      <x:c r="B38" s="22" t="str">
        <x:v>Доступность тестовых данных</x:v>
      </x:c>
      <x:c r="C38" s="6" t="str">
        <x:v>A3</x:v>
      </x:c>
      <x:c r="D38" s="6" t="str">
        <x:v>A4</x:v>
      </x:c>
      <x:c r="E38" s="40" t="n">
        <x:v>2</x:v>
      </x:c>
      <x:c r="F38" s="40" t="n">
        <x:v>2</x:v>
      </x:c>
      <x:c r="G38" s="40" t="n">
        <x:v>2</x:v>
      </x:c>
      <x:c r="H38" s="41" t="n">
        <x:f>(E38*F38*G38)^(1/3)</x:f>
        <x:v>2</x:v>
      </x:c>
      <x:c r="I38" s="6"/>
      <x:c r="J38" s="6"/>
      <x:c r="K38" s="6"/>
      <x:c r="L38" s="6"/>
      <x:c r="M38" s="6"/>
      <x:c r="N38" s="6"/>
      <x:c r="O38" s="6"/>
      <x:c r="P38" s="6"/>
      <x:c r="Q38" s="6"/>
    </x:row>
    <x:row r="39" ht="19" customHeight="1">
      <x:c r="A39" s="6" t="str">
        <x:v>K5</x:v>
      </x:c>
      <x:c r="B39" s="22" t="str">
        <x:v>Потенциал развития</x:v>
      </x:c>
      <x:c r="C39" s="6" t="str">
        <x:v>A1</x:v>
      </x:c>
      <x:c r="D39" s="6" t="str">
        <x:v>A2</x:v>
      </x:c>
      <x:c r="E39" s="40" t="n">
        <x:v>0.25</x:v>
      </x:c>
      <x:c r="F39" s="40" t="n">
        <x:v>0.25</x:v>
      </x:c>
      <x:c r="G39" s="40" t="n">
        <x:v>0.25</x:v>
      </x:c>
      <x:c r="H39" s="41" t="n">
        <x:f>(E39*F39*G39)^(1/3)</x:f>
        <x:v>0.25</x:v>
      </x:c>
      <x:c r="I39" s="6"/>
      <x:c r="J39" s="6"/>
      <x:c r="K39" s="6"/>
      <x:c r="L39" s="6"/>
      <x:c r="M39" s="6"/>
      <x:c r="N39" s="6"/>
      <x:c r="O39" s="6"/>
      <x:c r="P39" s="6"/>
      <x:c r="Q39" s="6"/>
    </x:row>
    <x:row r="40" ht="19" customHeight="1">
      <x:c r="A40" s="6" t="str">
        <x:v>K5</x:v>
      </x:c>
      <x:c r="B40" s="22" t="str">
        <x:v>Потенциал развития</x:v>
      </x:c>
      <x:c r="C40" s="6" t="str">
        <x:v>A1</x:v>
      </x:c>
      <x:c r="D40" s="6" t="str">
        <x:v>A3</x:v>
      </x:c>
      <x:c r="E40" s="40" t="n">
        <x:v>0.5</x:v>
      </x:c>
      <x:c r="F40" s="40" t="n">
        <x:v>0.3333333333333333</x:v>
      </x:c>
      <x:c r="G40" s="40" t="n">
        <x:v>0.5</x:v>
      </x:c>
      <x:c r="H40" s="41" t="n">
        <x:f>(E40*F40*G40)^(1/3)</x:f>
        <x:v>0.43679023236814946</x:v>
      </x:c>
      <x:c r="I40" s="6"/>
      <x:c r="J40" s="6"/>
      <x:c r="K40" s="6"/>
      <x:c r="L40" s="6"/>
      <x:c r="M40" s="6"/>
      <x:c r="N40" s="6"/>
      <x:c r="O40" s="6"/>
      <x:c r="P40" s="6"/>
      <x:c r="Q40" s="6"/>
    </x:row>
    <x:row r="41" ht="19" customHeight="1">
      <x:c r="A41" s="6" t="str">
        <x:v>K5</x:v>
      </x:c>
      <x:c r="B41" s="22" t="str">
        <x:v>Потенциал развития</x:v>
      </x:c>
      <x:c r="C41" s="6" t="str">
        <x:v>A1</x:v>
      </x:c>
      <x:c r="D41" s="6" t="str">
        <x:v>A4</x:v>
      </x:c>
      <x:c r="E41" s="40" t="n">
        <x:v>0.25</x:v>
      </x:c>
      <x:c r="F41" s="40" t="n">
        <x:v>0.25</x:v>
      </x:c>
      <x:c r="G41" s="40" t="n">
        <x:v>0.2</x:v>
      </x:c>
      <x:c r="H41" s="41" t="n">
        <x:f>(E41*F41*G41)^(1/3)</x:f>
        <x:v>0.23207944168063896</x:v>
      </x:c>
      <x:c r="I41" s="6"/>
      <x:c r="J41" s="6"/>
      <x:c r="K41" s="6"/>
      <x:c r="L41" s="6"/>
      <x:c r="M41" s="6"/>
      <x:c r="N41" s="6"/>
      <x:c r="O41" s="6"/>
      <x:c r="P41" s="6"/>
      <x:c r="Q41" s="6"/>
    </x:row>
    <x:row r="42" ht="19" customHeight="1">
      <x:c r="A42" s="6" t="str">
        <x:v>K5</x:v>
      </x:c>
      <x:c r="B42" s="22" t="str">
        <x:v>Потенциал развития</x:v>
      </x:c>
      <x:c r="C42" s="6" t="str">
        <x:v>A2</x:v>
      </x:c>
      <x:c r="D42" s="6" t="str">
        <x:v>A3</x:v>
      </x:c>
      <x:c r="E42" s="40" t="n">
        <x:v>2</x:v>
      </x:c>
      <x:c r="F42" s="40" t="n">
        <x:v>2</x:v>
      </x:c>
      <x:c r="G42" s="40" t="n">
        <x:v>3</x:v>
      </x:c>
      <x:c r="H42" s="41" t="n">
        <x:f>(E42*F42*G42)^(1/3)</x:f>
        <x:v>2.2894284851066637</x:v>
      </x:c>
      <x:c r="I42" s="6"/>
      <x:c r="J42" s="6"/>
      <x:c r="K42" s="6"/>
      <x:c r="L42" s="6"/>
      <x:c r="M42" s="6"/>
      <x:c r="N42" s="6"/>
      <x:c r="O42" s="6"/>
      <x:c r="P42" s="6"/>
      <x:c r="Q42" s="6"/>
    </x:row>
    <x:row r="43" ht="19" customHeight="1">
      <x:c r="A43" s="6" t="str">
        <x:v>K5</x:v>
      </x:c>
      <x:c r="B43" s="22" t="str">
        <x:v>Потенциал развития</x:v>
      </x:c>
      <x:c r="C43" s="6" t="str">
        <x:v>A2</x:v>
      </x:c>
      <x:c r="D43" s="6" t="str">
        <x:v>A4</x:v>
      </x:c>
      <x:c r="E43" s="40" t="n">
        <x:v>1</x:v>
      </x:c>
      <x:c r="F43" s="40" t="n">
        <x:v>1</x:v>
      </x:c>
      <x:c r="G43" s="40" t="n">
        <x:v>1</x:v>
      </x:c>
      <x:c r="H43" s="41" t="n">
        <x:f>(E43*F43*G43)^(1/3)</x:f>
        <x:v>1</x:v>
      </x:c>
      <x:c r="I43" s="6"/>
      <x:c r="J43" s="6"/>
      <x:c r="K43" s="6"/>
      <x:c r="L43" s="6"/>
      <x:c r="M43" s="6"/>
      <x:c r="N43" s="6"/>
      <x:c r="O43" s="6"/>
      <x:c r="P43" s="6"/>
      <x:c r="Q43" s="6"/>
    </x:row>
    <x:row r="44" ht="19" customHeight="1">
      <x:c r="A44" s="6" t="str">
        <x:v>K5</x:v>
      </x:c>
      <x:c r="B44" s="22" t="str">
        <x:v>Потенциал развития</x:v>
      </x:c>
      <x:c r="C44" s="6" t="str">
        <x:v>A3</x:v>
      </x:c>
      <x:c r="D44" s="6" t="str">
        <x:v>A4</x:v>
      </x:c>
      <x:c r="E44" s="40" t="n">
        <x:v>0.5</x:v>
      </x:c>
      <x:c r="F44" s="40" t="n">
        <x:v>0.5</x:v>
      </x:c>
      <x:c r="G44" s="40" t="n">
        <x:v>0.5</x:v>
      </x:c>
      <x:c r="H44" s="41" t="n">
        <x:f>(E44*F44*G44)^(1/3)</x:f>
        <x:v>0.5</x:v>
      </x:c>
      <x:c r="I44" s="6"/>
      <x:c r="J44" s="6"/>
      <x:c r="K44" s="6"/>
      <x:c r="L44" s="6"/>
      <x:c r="M44" s="6"/>
      <x:c r="N44" s="6"/>
      <x:c r="O44" s="6"/>
      <x:c r="P44" s="6"/>
      <x:c r="Q44" s="6"/>
    </x:row>
    <x:row r="45" ht="19" customHeight="1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  <x:c r="Q45" s="6"/>
    </x:row>
    <x:row r="46" ht="19" customHeight="1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  <x:c r="Q46" s="6"/>
    </x:row>
    <x:row r="47" ht="19" customHeight="1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  <x:c r="Q47" s="6"/>
    </x:row>
    <x:row r="48" ht="19" customHeight="1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  <x:c r="Q48" s="6"/>
    </x:row>
    <x:row r="49" ht="19" customHeight="1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  <x:c r="Q49" s="6"/>
    </x:row>
    <x:row r="50" ht="19" customHeight="1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  <x:c r="Q50" s="6"/>
    </x:row>
    <x:row r="51" ht="19" customHeight="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  <x:c r="Q51" s="6"/>
    </x:row>
    <x:row r="52" ht="19" customHeight="1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  <x:c r="Q52" s="6"/>
    </x:row>
    <x:row r="53" ht="19" customHeight="1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  <x:c r="Q53" s="6"/>
    </x:row>
    <x:row r="54" ht="19" customHeight="1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  <x:c r="Q54" s="6"/>
    </x:row>
    <x:row r="55" ht="19" customHeight="1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  <x:c r="Q55" s="6"/>
    </x:row>
    <x:row r="56" ht="19" customHeight="1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  <x:c r="Q56" s="6"/>
    </x:row>
    <x:row r="57" ht="19" customHeight="1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  <x:c r="Q57" s="6"/>
    </x:row>
    <x:row r="58" ht="19" customHeight="1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  <x:c r="Q58" s="6"/>
    </x:row>
    <x:row r="59" ht="19" customHeight="1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  <x:c r="Q59" s="6"/>
    </x:row>
    <x:row r="60" ht="19" customHeight="1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  <x:c r="Q60" s="6"/>
    </x:row>
    <x:row r="61" ht="19" customHeight="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  <x:c r="Q61" s="6"/>
    </x:row>
    <x:row r="62" ht="19" customHeight="1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  <x:c r="Q62" s="6"/>
    </x:row>
    <x:row r="63" ht="19" customHeight="1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  <x:c r="Q63" s="6"/>
    </x:row>
    <x:row r="64" ht="19" customHeight="1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  <x:c r="Q64" s="6"/>
    </x:row>
    <x:row r="65" ht="19" customHeight="1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</x:row>
    <x:row r="66" ht="19" customHeight="1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  <x:c r="Q66" s="6"/>
    </x:row>
    <x:row r="67" ht="19" customHeight="1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  <x:c r="Q67" s="6"/>
    </x:row>
    <x:row r="68" ht="19" customHeight="1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  <x:c r="Q68" s="6"/>
    </x:row>
    <x:row r="69" ht="19" customHeight="1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  <x:c r="Q69" s="6"/>
    </x:row>
    <x:row r="70" ht="19" customHeight="1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</x:row>
    <x:row r="71" ht="19" customHeight="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  <x:c r="Q71" s="6"/>
    </x:row>
    <x:row r="72" ht="19" customHeight="1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  <x:c r="Q72" s="6"/>
    </x:row>
    <x:row r="73" ht="19" customHeight="1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  <x:c r="Q73" s="6"/>
    </x:row>
    <x:row r="74" ht="19" customHeight="1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  <x:c r="Q74" s="6"/>
    </x:row>
    <x:row r="75" ht="19" customHeight="1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  <x:c r="Q75" s="6"/>
    </x:row>
    <x:row r="76" ht="19" customHeight="1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  <x:c r="Q76" s="6"/>
    </x:row>
    <x:row r="77" ht="19" customHeight="1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  <x:c r="Q77" s="6"/>
    </x:row>
    <x:row r="78" ht="19" customHeight="1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  <x:c r="Q78" s="6"/>
    </x:row>
    <x:row r="79" ht="19" customHeight="1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  <x:c r="Q79" s="6"/>
    </x:row>
    <x:row r="80" ht="19" customHeight="1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  <x:c r="Q80" s="6"/>
    </x:row>
    <x:row r="81" ht="19" customHeight="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  <x:c r="Q81" s="6"/>
    </x:row>
    <x:row r="82" ht="19" customHeight="1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  <x:c r="Q82" s="6"/>
    </x:row>
    <x:row r="83" ht="19" customHeight="1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  <x:c r="Q83" s="6"/>
    </x:row>
    <x:row r="84" ht="19" customHeight="1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  <x:c r="Q84" s="6"/>
    </x:row>
    <x:row r="85" ht="19" customHeight="1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</x:row>
    <x:row r="86" ht="19" customHeight="1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  <x:c r="Q86" s="6"/>
    </x:row>
    <x:row r="87" ht="19" customHeight="1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  <x:c r="Q87" s="6"/>
    </x:row>
    <x:row r="88" ht="19" customHeight="1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  <x:c r="Q88" s="6"/>
    </x:row>
    <x:row r="89" ht="19" customHeight="1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  <x:c r="Q89" s="6"/>
    </x:row>
    <x:row r="90" ht="19" customHeight="1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  <x:c r="Q90" s="6"/>
    </x:row>
    <x:row r="91" ht="19" customHeight="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  <x:c r="Q91" s="6"/>
    </x:row>
    <x:row r="92" ht="19" customHeight="1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  <x:c r="Q92" s="6"/>
    </x:row>
    <x:row r="93" ht="19" customHeight="1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  <x:c r="Q93" s="6"/>
    </x:row>
    <x:row r="94" ht="19" customHeight="1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  <x:c r="Q94" s="6"/>
    </x:row>
    <x:row r="95" ht="19" customHeight="1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  <x:c r="Q95" s="6"/>
    </x:row>
    <x:row r="96" ht="19" customHeight="1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  <x:c r="Q96" s="6"/>
    </x:row>
    <x:row r="97" ht="19" customHeight="1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  <x:c r="Q97" s="6"/>
    </x:row>
    <x:row r="98" ht="19" customHeight="1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  <x:c r="Q98" s="6"/>
    </x:row>
    <x:row r="99" ht="19" customHeight="1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  <x:c r="Q99" s="6"/>
    </x:row>
    <x:row r="100" ht="19" customHeight="1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  <x:c r="Q100" s="6"/>
    </x:row>
    <x:row r="101" ht="19" customHeight="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  <x:c r="L101" s="6"/>
      <x:c r="M101" s="6"/>
      <x:c r="N101" s="6"/>
      <x:c r="O101" s="6"/>
      <x:c r="P101" s="6"/>
      <x:c r="Q101" s="6"/>
    </x:row>
    <x:row r="102" ht="19" customHeight="1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  <x:c r="M102" s="6"/>
      <x:c r="N102" s="6"/>
      <x:c r="O102" s="6"/>
      <x:c r="P102" s="6"/>
      <x:c r="Q102" s="6"/>
    </x:row>
    <x:row r="103" ht="19" customHeight="1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  <x:c r="L103" s="6"/>
      <x:c r="M103" s="6"/>
      <x:c r="N103" s="6"/>
      <x:c r="O103" s="6"/>
      <x:c r="P103" s="6"/>
      <x:c r="Q103" s="6"/>
    </x:row>
    <x:row r="104" ht="19" customHeight="1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  <x:c r="M104" s="6"/>
      <x:c r="N104" s="6"/>
      <x:c r="O104" s="6"/>
      <x:c r="P104" s="6"/>
      <x:c r="Q104" s="6"/>
    </x:row>
    <x:row r="105" ht="19" customHeight="1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  <x:c r="M105" s="6"/>
      <x:c r="N105" s="6"/>
      <x:c r="O105" s="6"/>
      <x:c r="P105" s="6"/>
      <x:c r="Q105" s="6"/>
    </x:row>
    <x:row r="106" ht="19" customHeight="1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  <x:c r="M106" s="6"/>
      <x:c r="N106" s="6"/>
      <x:c r="O106" s="6"/>
      <x:c r="P106" s="6"/>
      <x:c r="Q106" s="6"/>
    </x:row>
    <x:row r="107" ht="19" customHeight="1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  <x:c r="M107" s="6"/>
      <x:c r="N107" s="6"/>
      <x:c r="O107" s="6"/>
      <x:c r="P107" s="6"/>
      <x:c r="Q107" s="6"/>
    </x:row>
    <x:row r="108" ht="19" customHeight="1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  <x:c r="M108" s="6"/>
      <x:c r="N108" s="6"/>
      <x:c r="O108" s="6"/>
      <x:c r="P108" s="6"/>
      <x:c r="Q108" s="6"/>
    </x:row>
    <x:row r="109" ht="19" customHeight="1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  <x:c r="L109" s="6"/>
      <x:c r="M109" s="6"/>
      <x:c r="N109" s="6"/>
      <x:c r="O109" s="6"/>
      <x:c r="P109" s="6"/>
      <x:c r="Q109" s="6"/>
    </x:row>
    <x:row r="110" ht="19" customHeight="1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  <x:c r="L110" s="6"/>
      <x:c r="M110" s="6"/>
      <x:c r="N110" s="6"/>
      <x:c r="O110" s="6"/>
      <x:c r="P110" s="6"/>
      <x:c r="Q110" s="6"/>
    </x:row>
    <x:row r="111" ht="19" customHeight="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  <x:c r="L111" s="6"/>
      <x:c r="M111" s="6"/>
      <x:c r="N111" s="6"/>
      <x:c r="O111" s="6"/>
      <x:c r="P111" s="6"/>
      <x:c r="Q111" s="6"/>
    </x:row>
    <x:row r="112" ht="19" customHeight="1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  <x:c r="L112" s="6"/>
      <x:c r="M112" s="6"/>
      <x:c r="N112" s="6"/>
      <x:c r="O112" s="6"/>
      <x:c r="P112" s="6"/>
      <x:c r="Q112" s="6"/>
    </x:row>
    <x:row r="113" ht="19" customHeight="1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  <x:c r="L113" s="6"/>
      <x:c r="M113" s="6"/>
      <x:c r="N113" s="6"/>
      <x:c r="O113" s="6"/>
      <x:c r="P113" s="6"/>
      <x:c r="Q113" s="6"/>
    </x:row>
    <x:row r="114" ht="19" customHeight="1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  <x:c r="L114" s="6"/>
      <x:c r="M114" s="6"/>
      <x:c r="N114" s="6"/>
      <x:c r="O114" s="6"/>
      <x:c r="P114" s="6"/>
      <x:c r="Q114" s="6"/>
    </x:row>
    <x:row r="115" ht="19" customHeight="1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  <x:c r="M115" s="6"/>
      <x:c r="N115" s="6"/>
      <x:c r="O115" s="6"/>
      <x:c r="P115" s="6"/>
      <x:c r="Q115" s="6"/>
    </x:row>
    <x:row r="116" ht="19" customHeight="1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  <x:c r="L116" s="6"/>
      <x:c r="M116" s="6"/>
      <x:c r="N116" s="6"/>
      <x:c r="O116" s="6"/>
      <x:c r="P116" s="6"/>
      <x:c r="Q116" s="6"/>
    </x:row>
    <x:row r="117" ht="19" customHeight="1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  <x:c r="M117" s="6"/>
      <x:c r="N117" s="6"/>
      <x:c r="O117" s="6"/>
      <x:c r="P117" s="6"/>
      <x:c r="Q117" s="6"/>
    </x:row>
    <x:row r="118" ht="19" customHeight="1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  <x:c r="M118" s="6"/>
      <x:c r="N118" s="6"/>
      <x:c r="O118" s="6"/>
      <x:c r="P118" s="6"/>
      <x:c r="Q118" s="6"/>
    </x:row>
    <x:row r="119" ht="19" customHeight="1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  <x:c r="M119" s="6"/>
      <x:c r="N119" s="6"/>
      <x:c r="O119" s="6"/>
      <x:c r="P119" s="6"/>
      <x:c r="Q119" s="6"/>
    </x:row>
    <x:row r="120" ht="19" customHeight="1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  <x:c r="M120" s="6"/>
      <x:c r="N120" s="6"/>
      <x:c r="O120" s="6"/>
      <x:c r="P120" s="6"/>
      <x:c r="Q120" s="6"/>
    </x:row>
    <x:row r="121" ht="19" customHeight="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  <x:c r="M121" s="6"/>
      <x:c r="N121" s="6"/>
      <x:c r="O121" s="6"/>
      <x:c r="P121" s="6"/>
      <x:c r="Q121" s="6"/>
    </x:row>
    <x:row r="122" ht="19" customHeight="1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  <x:c r="L122" s="6"/>
      <x:c r="M122" s="6"/>
      <x:c r="N122" s="6"/>
      <x:c r="O122" s="6"/>
      <x:c r="P122" s="6"/>
      <x:c r="Q122" s="6"/>
    </x:row>
    <x:row r="123" ht="19" customHeight="1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  <x:c r="L123" s="6"/>
      <x:c r="M123" s="6"/>
      <x:c r="N123" s="6"/>
      <x:c r="O123" s="6"/>
      <x:c r="P123" s="6"/>
      <x:c r="Q123" s="6"/>
    </x:row>
    <x:row r="124" ht="19" customHeight="1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  <x:c r="L124" s="6"/>
      <x:c r="M124" s="6"/>
      <x:c r="N124" s="6"/>
      <x:c r="O124" s="6"/>
      <x:c r="P124" s="6"/>
      <x:c r="Q124" s="6"/>
    </x:row>
    <x:row r="125" ht="19" customHeight="1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  <x:c r="L125" s="6"/>
      <x:c r="M125" s="6"/>
      <x:c r="N125" s="6"/>
      <x:c r="O125" s="6"/>
      <x:c r="P125" s="6"/>
      <x:c r="Q125" s="6"/>
    </x:row>
    <x:row r="126" ht="19" customHeight="1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  <x:c r="L126" s="6"/>
      <x:c r="M126" s="6"/>
      <x:c r="N126" s="6"/>
      <x:c r="O126" s="6"/>
      <x:c r="P126" s="6"/>
      <x:c r="Q126" s="6"/>
    </x:row>
    <x:row r="127" ht="19" customHeight="1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  <x:c r="L127" s="6"/>
      <x:c r="M127" s="6"/>
      <x:c r="N127" s="6"/>
      <x:c r="O127" s="6"/>
      <x:c r="P127" s="6"/>
      <x:c r="Q127" s="6"/>
    </x:row>
    <x:row r="128" ht="19" customHeight="1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  <x:c r="M128" s="6"/>
      <x:c r="N128" s="6"/>
      <x:c r="O128" s="6"/>
      <x:c r="P128" s="6"/>
      <x:c r="Q128" s="6"/>
    </x:row>
    <x:row r="129" ht="19" customHeight="1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  <x:c r="L129" s="6"/>
      <x:c r="M129" s="6"/>
      <x:c r="N129" s="6"/>
      <x:c r="O129" s="6"/>
      <x:c r="P129" s="6"/>
      <x:c r="Q129" s="6"/>
    </x:row>
    <x:row r="130" ht="19" customHeight="1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  <x:c r="M130" s="6"/>
      <x:c r="N130" s="6"/>
      <x:c r="O130" s="6"/>
      <x:c r="P130" s="6"/>
      <x:c r="Q130" s="6"/>
    </x:row>
    <x:row r="131" ht="19" customHeight="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  <x:c r="M131" s="6"/>
      <x:c r="N131" s="6"/>
      <x:c r="O131" s="6"/>
      <x:c r="P131" s="6"/>
      <x:c r="Q131" s="6"/>
    </x:row>
    <x:row r="132" ht="19" customHeight="1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  <x:c r="M132" s="6"/>
      <x:c r="N132" s="6"/>
      <x:c r="O132" s="6"/>
      <x:c r="P132" s="6"/>
      <x:c r="Q132" s="6"/>
    </x:row>
    <x:row r="133" ht="19" customHeight="1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  <x:c r="M133" s="6"/>
      <x:c r="N133" s="6"/>
      <x:c r="O133" s="6"/>
      <x:c r="P133" s="6"/>
      <x:c r="Q133" s="6"/>
    </x:row>
    <x:row r="134" ht="19" customHeight="1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  <x:c r="M134" s="6"/>
      <x:c r="N134" s="6"/>
      <x:c r="O134" s="6"/>
      <x:c r="P134" s="6"/>
      <x:c r="Q134" s="6"/>
    </x:row>
    <x:row r="135" ht="19" customHeight="1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  <x:c r="M135" s="6"/>
      <x:c r="N135" s="6"/>
      <x:c r="O135" s="6"/>
      <x:c r="P135" s="6"/>
      <x:c r="Q135" s="6"/>
    </x:row>
    <x:row r="136" ht="19" customHeight="1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  <x:c r="M136" s="6"/>
      <x:c r="N136" s="6"/>
      <x:c r="O136" s="6"/>
      <x:c r="P136" s="6"/>
      <x:c r="Q136" s="6"/>
    </x:row>
    <x:row r="137" ht="19" customHeight="1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  <x:c r="M137" s="6"/>
      <x:c r="N137" s="6"/>
      <x:c r="O137" s="6"/>
      <x:c r="P137" s="6"/>
      <x:c r="Q137" s="6"/>
    </x:row>
    <x:row r="138" ht="19" customHeight="1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  <x:c r="M138" s="6"/>
      <x:c r="N138" s="6"/>
      <x:c r="O138" s="6"/>
      <x:c r="P138" s="6"/>
      <x:c r="Q138" s="6"/>
    </x:row>
    <x:row r="139" ht="19" customHeight="1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  <x:c r="N139" s="6"/>
      <x:c r="O139" s="6"/>
      <x:c r="P139" s="6"/>
      <x:c r="Q139" s="6"/>
    </x:row>
    <x:row r="140" ht="19" customHeight="1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  <x:c r="M140" s="6"/>
      <x:c r="N140" s="6"/>
      <x:c r="O140" s="6"/>
      <x:c r="P140" s="6"/>
      <x:c r="Q140" s="6"/>
    </x:row>
    <x:row r="141" ht="19" customHeight="1">
      <x:c r="A141" s="6"/>
      <x:c r="B141" s="6"/>
      <x:c r="C141" s="6"/>
      <x:c r="D141" s="6"/>
      <x:c r="E141" s="6"/>
      <x:c r="F141" s="6"/>
      <x:c r="G141" s="6"/>
      <x:c r="H141" s="6"/>
      <x:c r="I141" s="6"/>
      <x:c r="J141" s="6"/>
      <x:c r="K141" s="6"/>
      <x:c r="L141" s="6"/>
      <x:c r="M141" s="6"/>
      <x:c r="N141" s="6"/>
      <x:c r="O141" s="6"/>
      <x:c r="P141" s="6"/>
      <x:c r="Q141" s="6"/>
    </x:row>
    <x:row r="142" ht="19" customHeight="1">
      <x:c r="A142" s="6"/>
      <x:c r="B142" s="6"/>
      <x:c r="C142" s="6"/>
      <x:c r="D142" s="6"/>
      <x:c r="E142" s="6"/>
      <x:c r="F142" s="6"/>
      <x:c r="G142" s="6"/>
      <x:c r="H142" s="6"/>
      <x:c r="I142" s="6"/>
      <x:c r="J142" s="6"/>
      <x:c r="K142" s="6"/>
      <x:c r="L142" s="6"/>
      <x:c r="M142" s="6"/>
      <x:c r="N142" s="6"/>
      <x:c r="O142" s="6"/>
      <x:c r="P142" s="6"/>
      <x:c r="Q142" s="6"/>
    </x:row>
    <x:row r="143" ht="19" customHeight="1">
      <x:c r="A143" s="6"/>
      <x:c r="B143" s="6"/>
      <x:c r="C143" s="6"/>
      <x:c r="D143" s="6"/>
      <x:c r="E143" s="6"/>
      <x:c r="F143" s="6"/>
      <x:c r="G143" s="6"/>
      <x:c r="H143" s="6"/>
      <x:c r="I143" s="6"/>
      <x:c r="J143" s="6"/>
      <x:c r="K143" s="6"/>
      <x:c r="L143" s="6"/>
      <x:c r="M143" s="6"/>
      <x:c r="N143" s="6"/>
      <x:c r="O143" s="6"/>
      <x:c r="P143" s="6"/>
      <x:c r="Q143" s="6"/>
    </x:row>
    <x:row r="144" ht="19" customHeight="1">
      <x:c r="A144" s="6"/>
      <x:c r="B144" s="6"/>
      <x:c r="C144" s="6"/>
      <x:c r="D144" s="6"/>
      <x:c r="E144" s="6"/>
      <x:c r="F144" s="6"/>
      <x:c r="G144" s="6"/>
      <x:c r="H144" s="6"/>
      <x:c r="I144" s="6"/>
      <x:c r="J144" s="6"/>
      <x:c r="K144" s="6"/>
      <x:c r="L144" s="6"/>
      <x:c r="M144" s="6"/>
      <x:c r="N144" s="6"/>
      <x:c r="O144" s="6"/>
      <x:c r="P144" s="6"/>
      <x:c r="Q144" s="6"/>
    </x:row>
    <x:row r="145" ht="19" customHeight="1">
      <x:c r="A145" s="6"/>
      <x:c r="B145" s="6"/>
      <x:c r="C145" s="6"/>
      <x:c r="D145" s="6"/>
      <x:c r="E145" s="6"/>
      <x:c r="F145" s="6"/>
      <x:c r="G145" s="6"/>
      <x:c r="H145" s="6"/>
      <x:c r="I145" s="6"/>
      <x:c r="J145" s="6"/>
      <x:c r="K145" s="6"/>
      <x:c r="L145" s="6"/>
      <x:c r="M145" s="6"/>
      <x:c r="N145" s="6"/>
      <x:c r="O145" s="6"/>
      <x:c r="P145" s="6"/>
      <x:c r="Q145" s="6"/>
    </x:row>
    <x:row r="146" ht="19" customHeight="1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  <x:c r="K146" s="6"/>
      <x:c r="L146" s="6"/>
      <x:c r="M146" s="6"/>
      <x:c r="N146" s="6"/>
      <x:c r="O146" s="6"/>
      <x:c r="P146" s="6"/>
      <x:c r="Q146" s="6"/>
    </x:row>
    <x:row r="147" ht="19" customHeight="1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  <x:c r="K147" s="6"/>
      <x:c r="L147" s="6"/>
      <x:c r="M147" s="6"/>
      <x:c r="N147" s="6"/>
      <x:c r="O147" s="6"/>
      <x:c r="P147" s="6"/>
      <x:c r="Q147" s="6"/>
    </x:row>
    <x:row r="148" ht="19" customHeight="1">
      <x:c r="A148" s="6"/>
      <x:c r="B148" s="6"/>
      <x:c r="C148" s="6"/>
      <x:c r="D148" s="6"/>
      <x:c r="E148" s="6"/>
      <x:c r="F148" s="6"/>
      <x:c r="G148" s="6"/>
      <x:c r="H148" s="6"/>
      <x:c r="I148" s="6"/>
      <x:c r="J148" s="6"/>
      <x:c r="K148" s="6"/>
      <x:c r="L148" s="6"/>
      <x:c r="M148" s="6"/>
      <x:c r="N148" s="6"/>
      <x:c r="O148" s="6"/>
      <x:c r="P148" s="6"/>
      <x:c r="Q148" s="6"/>
    </x:row>
    <x:row r="149" ht="19" customHeight="1">
      <x:c r="A149" s="6"/>
      <x:c r="B149" s="6"/>
      <x:c r="C149" s="6"/>
      <x:c r="D149" s="6"/>
      <x:c r="E149" s="6"/>
      <x:c r="F149" s="6"/>
      <x:c r="G149" s="6"/>
      <x:c r="H149" s="6"/>
      <x:c r="I149" s="6"/>
      <x:c r="J149" s="6"/>
      <x:c r="K149" s="6"/>
      <x:c r="L149" s="6"/>
      <x:c r="M149" s="6"/>
      <x:c r="N149" s="6"/>
      <x:c r="O149" s="6"/>
      <x:c r="P149" s="6"/>
      <x:c r="Q149" s="6"/>
    </x:row>
    <x:row r="150" ht="19" customHeight="1">
      <x:c r="A150" s="6"/>
      <x:c r="B150" s="6"/>
      <x:c r="C150" s="6"/>
      <x:c r="D150" s="6"/>
      <x:c r="E150" s="6"/>
      <x:c r="F150" s="6"/>
      <x:c r="G150" s="6"/>
      <x:c r="H150" s="6"/>
      <x:c r="I150" s="6"/>
      <x:c r="J150" s="6"/>
      <x:c r="K150" s="6"/>
      <x:c r="L150" s="6"/>
      <x:c r="M150" s="6"/>
      <x:c r="N150" s="6"/>
      <x:c r="O150" s="6"/>
      <x:c r="P150" s="6"/>
      <x:c r="Q150" s="6"/>
    </x:row>
    <x:row r="151" ht="19" customHeight="1">
      <x:c r="A151" s="6"/>
      <x:c r="B151" s="6"/>
      <x:c r="C151" s="6"/>
      <x:c r="D151" s="6"/>
      <x:c r="E151" s="6"/>
      <x:c r="F151" s="6"/>
      <x:c r="G151" s="6"/>
      <x:c r="H151" s="6"/>
      <x:c r="I151" s="6"/>
      <x:c r="J151" s="6"/>
      <x:c r="K151" s="6"/>
      <x:c r="L151" s="6"/>
      <x:c r="M151" s="6"/>
      <x:c r="N151" s="6"/>
      <x:c r="O151" s="6"/>
      <x:c r="P151" s="6"/>
      <x:c r="Q151" s="6"/>
    </x:row>
    <x:row r="152" ht="19" customHeight="1">
      <x:c r="A152" s="6"/>
      <x:c r="B152" s="6"/>
      <x:c r="C152" s="6"/>
      <x:c r="D152" s="6"/>
      <x:c r="E152" s="6"/>
      <x:c r="F152" s="6"/>
      <x:c r="G152" s="6"/>
      <x:c r="H152" s="6"/>
      <x:c r="I152" s="6"/>
      <x:c r="J152" s="6"/>
      <x:c r="K152" s="6"/>
      <x:c r="L152" s="6"/>
      <x:c r="M152" s="6"/>
      <x:c r="N152" s="6"/>
      <x:c r="O152" s="6"/>
      <x:c r="P152" s="6"/>
      <x:c r="Q152" s="6"/>
    </x:row>
    <x:row r="153" ht="19" customHeight="1">
      <x:c r="A153" s="6"/>
      <x:c r="B153" s="6"/>
      <x:c r="C153" s="6"/>
      <x:c r="D153" s="6"/>
      <x:c r="E153" s="6"/>
      <x:c r="F153" s="6"/>
      <x:c r="G153" s="6"/>
      <x:c r="H153" s="6"/>
      <x:c r="I153" s="6"/>
      <x:c r="J153" s="6"/>
      <x:c r="K153" s="6"/>
      <x:c r="L153" s="6"/>
      <x:c r="M153" s="6"/>
      <x:c r="N153" s="6"/>
      <x:c r="O153" s="6"/>
      <x:c r="P153" s="6"/>
      <x:c r="Q153" s="6"/>
    </x:row>
    <x:row r="154" ht="19" customHeight="1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  <x:c r="K154" s="6"/>
      <x:c r="L154" s="6"/>
      <x:c r="M154" s="6"/>
      <x:c r="N154" s="6"/>
      <x:c r="O154" s="6"/>
      <x:c r="P154" s="6"/>
      <x:c r="Q154" s="6"/>
    </x:row>
    <x:row r="155" ht="19" customHeight="1">
      <x:c r="A155" s="6"/>
      <x:c r="B155" s="6"/>
      <x:c r="C155" s="6"/>
      <x:c r="D155" s="6"/>
      <x:c r="E155" s="6"/>
      <x:c r="F155" s="6"/>
      <x:c r="G155" s="6"/>
      <x:c r="H155" s="6"/>
      <x:c r="I155" s="6"/>
      <x:c r="J155" s="6"/>
      <x:c r="K155" s="6"/>
      <x:c r="L155" s="6"/>
      <x:c r="M155" s="6"/>
      <x:c r="N155" s="6"/>
      <x:c r="O155" s="6"/>
      <x:c r="P155" s="6"/>
      <x:c r="Q155" s="6"/>
    </x:row>
    <x:row r="156" ht="19" customHeight="1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  <x:c r="K156" s="6"/>
      <x:c r="L156" s="6"/>
      <x:c r="M156" s="6"/>
      <x:c r="N156" s="6"/>
      <x:c r="O156" s="6"/>
      <x:c r="P156" s="6"/>
      <x:c r="Q156" s="6"/>
    </x:row>
    <x:row r="157" ht="19" customHeight="1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  <x:c r="K157" s="6"/>
      <x:c r="L157" s="6"/>
      <x:c r="M157" s="6"/>
      <x:c r="N157" s="6"/>
      <x:c r="O157" s="6"/>
      <x:c r="P157" s="6"/>
      <x:c r="Q157" s="6"/>
    </x:row>
    <x:row r="158" ht="19" customHeight="1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  <x:c r="K158" s="6"/>
      <x:c r="L158" s="6"/>
      <x:c r="M158" s="6"/>
      <x:c r="N158" s="6"/>
      <x:c r="O158" s="6"/>
      <x:c r="P158" s="6"/>
      <x:c r="Q158" s="6"/>
    </x:row>
    <x:row r="159" ht="19" customHeight="1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  <x:c r="K159" s="6"/>
      <x:c r="L159" s="6"/>
      <x:c r="M159" s="6"/>
      <x:c r="N159" s="6"/>
      <x:c r="O159" s="6"/>
      <x:c r="P159" s="6"/>
      <x:c r="Q159" s="6"/>
    </x:row>
    <x:row r="160" ht="19" customHeight="1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  <x:c r="K160" s="6"/>
      <x:c r="L160" s="6"/>
      <x:c r="M160" s="6"/>
      <x:c r="N160" s="6"/>
      <x:c r="O160" s="6"/>
      <x:c r="P160" s="6"/>
      <x:c r="Q160" s="6"/>
    </x:row>
    <x:row r="161" ht="19" customHeight="1">
      <x:c r="A161" s="6"/>
      <x:c r="B161" s="6"/>
      <x:c r="C161" s="6"/>
      <x:c r="D161" s="6"/>
      <x:c r="E161" s="6"/>
      <x:c r="F161" s="6"/>
      <x:c r="G161" s="6"/>
      <x:c r="H161" s="6"/>
      <x:c r="I161" s="6"/>
      <x:c r="J161" s="6"/>
      <x:c r="K161" s="6"/>
      <x:c r="L161" s="6"/>
      <x:c r="M161" s="6"/>
      <x:c r="N161" s="6"/>
      <x:c r="O161" s="6"/>
      <x:c r="P161" s="6"/>
      <x:c r="Q161" s="6"/>
    </x:row>
    <x:row r="162" ht="19" customHeight="1">
      <x:c r="A162" s="6"/>
      <x:c r="B162" s="6"/>
      <x:c r="C162" s="6"/>
      <x:c r="D162" s="6"/>
      <x:c r="E162" s="6"/>
      <x:c r="F162" s="6"/>
      <x:c r="G162" s="6"/>
      <x:c r="H162" s="6"/>
      <x:c r="I162" s="6"/>
      <x:c r="J162" s="6"/>
      <x:c r="K162" s="6"/>
      <x:c r="L162" s="6"/>
      <x:c r="M162" s="6"/>
      <x:c r="N162" s="6"/>
      <x:c r="O162" s="6"/>
      <x:c r="P162" s="6"/>
      <x:c r="Q162" s="6"/>
    </x:row>
    <x:row r="163" ht="19" customHeight="1">
      <x:c r="A163" s="6"/>
      <x:c r="B163" s="6"/>
      <x:c r="C163" s="6"/>
      <x:c r="D163" s="6"/>
      <x:c r="E163" s="6"/>
      <x:c r="F163" s="6"/>
      <x:c r="G163" s="6"/>
      <x:c r="H163" s="6"/>
      <x:c r="I163" s="6"/>
      <x:c r="J163" s="6"/>
      <x:c r="K163" s="6"/>
      <x:c r="L163" s="6"/>
      <x:c r="M163" s="6"/>
      <x:c r="N163" s="6"/>
      <x:c r="O163" s="6"/>
      <x:c r="P163" s="6"/>
      <x:c r="Q163" s="6"/>
    </x:row>
    <x:row r="164" ht="19" customHeight="1">
      <x:c r="A164" s="6"/>
      <x:c r="B164" s="6"/>
      <x:c r="C164" s="6"/>
      <x:c r="D164" s="6"/>
      <x:c r="E164" s="6"/>
      <x:c r="F164" s="6"/>
      <x:c r="G164" s="6"/>
      <x:c r="H164" s="6"/>
      <x:c r="I164" s="6"/>
      <x:c r="J164" s="6"/>
      <x:c r="K164" s="6"/>
      <x:c r="L164" s="6"/>
      <x:c r="M164" s="6"/>
      <x:c r="N164" s="6"/>
      <x:c r="O164" s="6"/>
      <x:c r="P164" s="6"/>
      <x:c r="Q164" s="6"/>
    </x:row>
    <x:row r="165" ht="19" customHeight="1">
      <x:c r="A165" s="6"/>
      <x:c r="B165" s="6"/>
      <x:c r="C165" s="6"/>
      <x:c r="D165" s="6"/>
      <x:c r="E165" s="6"/>
      <x:c r="F165" s="6"/>
      <x:c r="G165" s="6"/>
      <x:c r="H165" s="6"/>
      <x:c r="I165" s="6"/>
      <x:c r="J165" s="6"/>
      <x:c r="K165" s="6"/>
      <x:c r="L165" s="6"/>
      <x:c r="M165" s="6"/>
      <x:c r="N165" s="6"/>
      <x:c r="O165" s="6"/>
      <x:c r="P165" s="6"/>
      <x:c r="Q165" s="6"/>
    </x:row>
    <x:row r="166" ht="19" customHeight="1">
      <x:c r="A166" s="6"/>
      <x:c r="B166" s="6"/>
      <x:c r="C166" s="6"/>
      <x:c r="D166" s="6"/>
      <x:c r="E166" s="6"/>
      <x:c r="F166" s="6"/>
      <x:c r="G166" s="6"/>
      <x:c r="H166" s="6"/>
      <x:c r="I166" s="6"/>
      <x:c r="J166" s="6"/>
      <x:c r="K166" s="6"/>
      <x:c r="L166" s="6"/>
      <x:c r="M166" s="6"/>
      <x:c r="N166" s="6"/>
      <x:c r="O166" s="6"/>
      <x:c r="P166" s="6"/>
      <x:c r="Q166" s="6"/>
    </x:row>
    <x:row r="167" ht="19" customHeight="1">
      <x:c r="A167" s="6"/>
      <x:c r="B167" s="6"/>
      <x:c r="C167" s="6"/>
      <x:c r="D167" s="6"/>
      <x:c r="E167" s="6"/>
      <x:c r="F167" s="6"/>
      <x:c r="G167" s="6"/>
      <x:c r="H167" s="6"/>
      <x:c r="I167" s="6"/>
      <x:c r="J167" s="6"/>
      <x:c r="K167" s="6"/>
      <x:c r="L167" s="6"/>
      <x:c r="M167" s="6"/>
      <x:c r="N167" s="6"/>
      <x:c r="O167" s="6"/>
      <x:c r="P167" s="6"/>
      <x:c r="Q167" s="6"/>
    </x:row>
    <x:row r="168" ht="19" customHeight="1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  <x:c r="K168" s="6"/>
      <x:c r="L168" s="6"/>
      <x:c r="M168" s="6"/>
      <x:c r="N168" s="6"/>
      <x:c r="O168" s="6"/>
      <x:c r="P168" s="6"/>
      <x:c r="Q168" s="6"/>
    </x:row>
    <x:row r="169" ht="19" customHeight="1">
      <x:c r="A169" s="6"/>
      <x:c r="B169" s="6"/>
      <x:c r="C169" s="6"/>
      <x:c r="D169" s="6"/>
      <x:c r="E169" s="6"/>
      <x:c r="F169" s="6"/>
      <x:c r="G169" s="6"/>
      <x:c r="H169" s="6"/>
      <x:c r="I169" s="6"/>
      <x:c r="J169" s="6"/>
      <x:c r="K169" s="6"/>
      <x:c r="L169" s="6"/>
      <x:c r="M169" s="6"/>
      <x:c r="N169" s="6"/>
      <x:c r="O169" s="6"/>
      <x:c r="P169" s="6"/>
      <x:c r="Q169" s="6"/>
    </x:row>
    <x:row r="170" ht="19" customHeight="1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  <x:c r="K170" s="6"/>
      <x:c r="L170" s="6"/>
      <x:c r="M170" s="6"/>
      <x:c r="N170" s="6"/>
      <x:c r="O170" s="6"/>
      <x:c r="P170" s="6"/>
      <x:c r="Q170" s="6"/>
    </x:row>
    <x:row r="171" ht="19" customHeight="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  <x:c r="M171" s="6"/>
      <x:c r="N171" s="6"/>
      <x:c r="O171" s="6"/>
      <x:c r="P171" s="6"/>
      <x:c r="Q171" s="6"/>
    </x:row>
    <x:row r="172" ht="19" customHeight="1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  <x:c r="K172" s="6"/>
      <x:c r="L172" s="6"/>
      <x:c r="M172" s="6"/>
      <x:c r="N172" s="6"/>
      <x:c r="O172" s="6"/>
      <x:c r="P172" s="6"/>
      <x:c r="Q172" s="6"/>
    </x:row>
    <x:row r="173" ht="19" customHeight="1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  <x:c r="K173" s="6"/>
      <x:c r="L173" s="6"/>
      <x:c r="M173" s="6"/>
      <x:c r="N173" s="6"/>
      <x:c r="O173" s="6"/>
      <x:c r="P173" s="6"/>
      <x:c r="Q173" s="6"/>
    </x:row>
    <x:row r="174" ht="19" customHeight="1">
      <x:c r="A174" s="6"/>
      <x:c r="B174" s="6"/>
      <x:c r="C174" s="6"/>
      <x:c r="D174" s="6"/>
      <x:c r="E174" s="6"/>
      <x:c r="F174" s="6"/>
      <x:c r="G174" s="6"/>
      <x:c r="H174" s="6"/>
      <x:c r="I174" s="6"/>
      <x:c r="J174" s="6"/>
      <x:c r="K174" s="6"/>
      <x:c r="L174" s="6"/>
      <x:c r="M174" s="6"/>
      <x:c r="N174" s="6"/>
      <x:c r="O174" s="6"/>
      <x:c r="P174" s="6"/>
      <x:c r="Q174" s="6"/>
    </x:row>
    <x:row r="175" ht="19" customHeight="1">
      <x:c r="A175" s="6"/>
      <x:c r="B175" s="6"/>
      <x:c r="C175" s="6"/>
      <x:c r="D175" s="6"/>
      <x:c r="E175" s="6"/>
      <x:c r="F175" s="6"/>
      <x:c r="G175" s="6"/>
      <x:c r="H175" s="6"/>
      <x:c r="I175" s="6"/>
      <x:c r="J175" s="6"/>
      <x:c r="K175" s="6"/>
      <x:c r="L175" s="6"/>
      <x:c r="M175" s="6"/>
      <x:c r="N175" s="6"/>
      <x:c r="O175" s="6"/>
      <x:c r="P175" s="6"/>
      <x:c r="Q175" s="6"/>
    </x:row>
    <x:row r="176" ht="19" customHeight="1">
      <x:c r="A176" s="6"/>
      <x:c r="B176" s="6"/>
      <x:c r="C176" s="6"/>
      <x:c r="D176" s="6"/>
      <x:c r="E176" s="6"/>
      <x:c r="F176" s="6"/>
      <x:c r="G176" s="6"/>
      <x:c r="H176" s="6"/>
      <x:c r="I176" s="6"/>
      <x:c r="J176" s="6"/>
      <x:c r="K176" s="6"/>
      <x:c r="L176" s="6"/>
      <x:c r="M176" s="6"/>
      <x:c r="N176" s="6"/>
      <x:c r="O176" s="6"/>
      <x:c r="P176" s="6"/>
      <x:c r="Q176" s="6"/>
    </x:row>
    <x:row r="177" ht="19" customHeight="1">
      <x:c r="A177" s="6"/>
      <x:c r="B177" s="6"/>
      <x:c r="C177" s="6"/>
      <x:c r="D177" s="6"/>
      <x:c r="E177" s="6"/>
      <x:c r="F177" s="6"/>
      <x:c r="G177" s="6"/>
      <x:c r="H177" s="6"/>
      <x:c r="I177" s="6"/>
      <x:c r="J177" s="6"/>
      <x:c r="K177" s="6"/>
      <x:c r="L177" s="6"/>
      <x:c r="M177" s="6"/>
      <x:c r="N177" s="6"/>
      <x:c r="O177" s="6"/>
      <x:c r="P177" s="6"/>
      <x:c r="Q177" s="6"/>
    </x:row>
    <x:row r="178" ht="19" customHeight="1">
      <x:c r="A178" s="6"/>
      <x:c r="B178" s="6"/>
      <x:c r="C178" s="6"/>
      <x:c r="D178" s="6"/>
      <x:c r="E178" s="6"/>
      <x:c r="F178" s="6"/>
      <x:c r="G178" s="6"/>
      <x:c r="H178" s="6"/>
      <x:c r="I178" s="6"/>
      <x:c r="J178" s="6"/>
      <x:c r="K178" s="6"/>
      <x:c r="L178" s="6"/>
      <x:c r="M178" s="6"/>
      <x:c r="N178" s="6"/>
      <x:c r="O178" s="6"/>
      <x:c r="P178" s="6"/>
      <x:c r="Q178" s="6"/>
    </x:row>
    <x:row r="179" ht="19" customHeight="1">
      <x:c r="A179" s="6"/>
      <x:c r="B179" s="6"/>
      <x:c r="C179" s="6"/>
      <x:c r="D179" s="6"/>
      <x:c r="E179" s="6"/>
      <x:c r="F179" s="6"/>
      <x:c r="G179" s="6"/>
      <x:c r="H179" s="6"/>
      <x:c r="I179" s="6"/>
      <x:c r="J179" s="6"/>
      <x:c r="K179" s="6"/>
      <x:c r="L179" s="6"/>
      <x:c r="M179" s="6"/>
      <x:c r="N179" s="6"/>
      <x:c r="O179" s="6"/>
      <x:c r="P179" s="6"/>
      <x:c r="Q179" s="6"/>
    </x:row>
    <x:row r="180" ht="19" customHeight="1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  <x:c r="K180" s="6"/>
      <x:c r="L180" s="6"/>
      <x:c r="M180" s="6"/>
      <x:c r="N180" s="6"/>
      <x:c r="O180" s="6"/>
      <x:c r="P180" s="6"/>
      <x:c r="Q180" s="6"/>
    </x:row>
    <x:row r="181" ht="19" customHeight="1">
      <x:c r="A181" s="6"/>
      <x:c r="B181" s="6"/>
      <x:c r="C181" s="6"/>
      <x:c r="D181" s="6"/>
      <x:c r="E181" s="6"/>
      <x:c r="F181" s="6"/>
      <x:c r="G181" s="6"/>
      <x:c r="H181" s="6"/>
      <x:c r="I181" s="6"/>
      <x:c r="J181" s="6"/>
      <x:c r="K181" s="6"/>
      <x:c r="L181" s="6"/>
      <x:c r="M181" s="6"/>
      <x:c r="N181" s="6"/>
      <x:c r="O181" s="6"/>
      <x:c r="P181" s="6"/>
      <x:c r="Q181" s="6"/>
    </x:row>
    <x:row r="182" ht="19" customHeight="1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  <x:c r="K182" s="6"/>
      <x:c r="L182" s="6"/>
      <x:c r="M182" s="6"/>
      <x:c r="N182" s="6"/>
      <x:c r="O182" s="6"/>
      <x:c r="P182" s="6"/>
      <x:c r="Q182" s="6"/>
    </x:row>
    <x:row r="183" ht="19" customHeight="1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  <x:c r="M183" s="6"/>
      <x:c r="N183" s="6"/>
      <x:c r="O183" s="6"/>
      <x:c r="P183" s="6"/>
      <x:c r="Q183" s="6"/>
    </x:row>
    <x:row r="184" ht="19" customHeight="1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  <x:c r="K184" s="6"/>
      <x:c r="L184" s="6"/>
      <x:c r="M184" s="6"/>
      <x:c r="N184" s="6"/>
      <x:c r="O184" s="6"/>
      <x:c r="P184" s="6"/>
      <x:c r="Q184" s="6"/>
    </x:row>
    <x:row r="185" ht="19" customHeight="1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  <x:c r="M185" s="6"/>
      <x:c r="N185" s="6"/>
      <x:c r="O185" s="6"/>
      <x:c r="P185" s="6"/>
      <x:c r="Q185" s="6"/>
    </x:row>
    <x:row r="186" ht="19" customHeight="1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  <x:c r="K186" s="6"/>
      <x:c r="L186" s="6"/>
      <x:c r="M186" s="6"/>
      <x:c r="N186" s="6"/>
      <x:c r="O186" s="6"/>
      <x:c r="P186" s="6"/>
      <x:c r="Q186" s="6"/>
    </x:row>
    <x:row r="187" ht="19" customHeight="1">
      <x:c r="A187" s="6"/>
      <x:c r="B187" s="6"/>
      <x:c r="C187" s="6"/>
      <x:c r="D187" s="6"/>
      <x:c r="E187" s="6"/>
      <x:c r="F187" s="6"/>
      <x:c r="G187" s="6"/>
      <x:c r="H187" s="6"/>
      <x:c r="I187" s="6"/>
      <x:c r="J187" s="6"/>
      <x:c r="K187" s="6"/>
      <x:c r="L187" s="6"/>
      <x:c r="M187" s="6"/>
      <x:c r="N187" s="6"/>
      <x:c r="O187" s="6"/>
      <x:c r="P187" s="6"/>
      <x:c r="Q187" s="6"/>
    </x:row>
    <x:row r="188" ht="19" customHeight="1">
      <x:c r="A188" s="6"/>
      <x:c r="B188" s="6"/>
      <x:c r="C188" s="6"/>
      <x:c r="D188" s="6"/>
      <x:c r="E188" s="6"/>
      <x:c r="F188" s="6"/>
      <x:c r="G188" s="6"/>
      <x:c r="H188" s="6"/>
      <x:c r="I188" s="6"/>
      <x:c r="J188" s="6"/>
      <x:c r="K188" s="6"/>
      <x:c r="L188" s="6"/>
      <x:c r="M188" s="6"/>
      <x:c r="N188" s="6"/>
      <x:c r="O188" s="6"/>
      <x:c r="P188" s="6"/>
      <x:c r="Q188" s="6"/>
    </x:row>
    <x:row r="189" ht="19" customHeight="1">
      <x:c r="A189" s="6"/>
      <x:c r="B189" s="6"/>
      <x:c r="C189" s="6"/>
      <x:c r="D189" s="6"/>
      <x:c r="E189" s="6"/>
      <x:c r="F189" s="6"/>
      <x:c r="G189" s="6"/>
      <x:c r="H189" s="6"/>
      <x:c r="I189" s="6"/>
      <x:c r="J189" s="6"/>
      <x:c r="K189" s="6"/>
      <x:c r="L189" s="6"/>
      <x:c r="M189" s="6"/>
      <x:c r="N189" s="6"/>
      <x:c r="O189" s="6"/>
      <x:c r="P189" s="6"/>
      <x:c r="Q189" s="6"/>
    </x:row>
    <x:row r="190" ht="19" customHeight="1">
      <x:c r="A190" s="6"/>
      <x:c r="B190" s="6"/>
      <x:c r="C190" s="6"/>
      <x:c r="D190" s="6"/>
      <x:c r="E190" s="6"/>
      <x:c r="F190" s="6"/>
      <x:c r="G190" s="6"/>
      <x:c r="H190" s="6"/>
      <x:c r="I190" s="6"/>
      <x:c r="J190" s="6"/>
      <x:c r="K190" s="6"/>
      <x:c r="L190" s="6"/>
      <x:c r="M190" s="6"/>
      <x:c r="N190" s="6"/>
      <x:c r="O190" s="6"/>
      <x:c r="P190" s="6"/>
      <x:c r="Q190" s="6"/>
    </x:row>
    <x:row r="191" ht="19" customHeight="1">
      <x:c r="A191" s="6"/>
      <x:c r="B191" s="6"/>
      <x:c r="C191" s="6"/>
      <x:c r="D191" s="6"/>
      <x:c r="E191" s="6"/>
      <x:c r="F191" s="6"/>
      <x:c r="G191" s="6"/>
      <x:c r="H191" s="6"/>
      <x:c r="I191" s="6"/>
      <x:c r="J191" s="6"/>
      <x:c r="K191" s="6"/>
      <x:c r="L191" s="6"/>
      <x:c r="M191" s="6"/>
      <x:c r="N191" s="6"/>
      <x:c r="O191" s="6"/>
      <x:c r="P191" s="6"/>
      <x:c r="Q191" s="6"/>
    </x:row>
    <x:row r="192" ht="19" customHeight="1">
      <x:c r="A192" s="6"/>
      <x:c r="B192" s="6"/>
      <x:c r="C192" s="6"/>
      <x:c r="D192" s="6"/>
      <x:c r="E192" s="6"/>
      <x:c r="F192" s="6"/>
      <x:c r="G192" s="6"/>
      <x:c r="H192" s="6"/>
      <x:c r="I192" s="6"/>
      <x:c r="J192" s="6"/>
      <x:c r="K192" s="6"/>
      <x:c r="L192" s="6"/>
      <x:c r="M192" s="6"/>
      <x:c r="N192" s="6"/>
      <x:c r="O192" s="6"/>
      <x:c r="P192" s="6"/>
      <x:c r="Q192" s="6"/>
    </x:row>
    <x:row r="193" ht="19" customHeight="1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  <x:c r="M193" s="6"/>
      <x:c r="N193" s="6"/>
      <x:c r="O193" s="6"/>
      <x:c r="P193" s="6"/>
      <x:c r="Q193" s="6"/>
    </x:row>
    <x:row r="194" ht="19" customHeight="1">
      <x:c r="A194" s="6"/>
      <x:c r="B194" s="6"/>
      <x:c r="C194" s="6"/>
      <x:c r="D194" s="6"/>
      <x:c r="E194" s="6"/>
      <x:c r="F194" s="6"/>
      <x:c r="G194" s="6"/>
      <x:c r="H194" s="6"/>
      <x:c r="I194" s="6"/>
      <x:c r="J194" s="6"/>
      <x:c r="K194" s="6"/>
      <x:c r="L194" s="6"/>
      <x:c r="M194" s="6"/>
      <x:c r="N194" s="6"/>
      <x:c r="O194" s="6"/>
      <x:c r="P194" s="6"/>
      <x:c r="Q194" s="6"/>
    </x:row>
    <x:row r="195" ht="19" customHeight="1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  <x:c r="M195" s="6"/>
      <x:c r="N195" s="6"/>
      <x:c r="O195" s="6"/>
      <x:c r="P195" s="6"/>
      <x:c r="Q195" s="6"/>
    </x:row>
    <x:row r="196" ht="19" customHeight="1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  <x:c r="K196" s="6"/>
      <x:c r="L196" s="6"/>
      <x:c r="M196" s="6"/>
      <x:c r="N196" s="6"/>
      <x:c r="O196" s="6"/>
      <x:c r="P196" s="6"/>
      <x:c r="Q196" s="6"/>
    </x:row>
    <x:row r="197" ht="19" customHeight="1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  <x:c r="K197" s="6"/>
      <x:c r="L197" s="6"/>
      <x:c r="M197" s="6"/>
      <x:c r="N197" s="6"/>
      <x:c r="O197" s="6"/>
      <x:c r="P197" s="6"/>
      <x:c r="Q197" s="6"/>
    </x:row>
    <x:row r="198" ht="19" customHeight="1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  <x:c r="K198" s="6"/>
      <x:c r="L198" s="6"/>
      <x:c r="M198" s="6"/>
      <x:c r="N198" s="6"/>
      <x:c r="O198" s="6"/>
      <x:c r="P198" s="6"/>
      <x:c r="Q198" s="6"/>
    </x:row>
    <x:row r="199" ht="19" customHeight="1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  <x:c r="K199" s="6"/>
      <x:c r="L199" s="6"/>
      <x:c r="M199" s="6"/>
      <x:c r="N199" s="6"/>
      <x:c r="O199" s="6"/>
      <x:c r="P199" s="6"/>
      <x:c r="Q199" s="6"/>
    </x:row>
    <x:row r="200" ht="19" customHeight="1">
      <x:c r="A200" s="6"/>
      <x:c r="B200" s="6"/>
      <x:c r="C200" s="6"/>
      <x:c r="D200" s="6"/>
      <x:c r="E200" s="6"/>
      <x:c r="F200" s="6"/>
      <x:c r="G200" s="6"/>
      <x:c r="H200" s="6"/>
      <x:c r="I200" s="6"/>
      <x:c r="J200" s="6"/>
      <x:c r="K200" s="6"/>
      <x:c r="L200" s="6"/>
      <x:c r="M200" s="6"/>
      <x:c r="N200" s="6"/>
      <x:c r="O200" s="6"/>
      <x:c r="P200" s="6"/>
      <x:c r="Q200" s="6"/>
    </x:row>
    <x:row r="201" ht="19" customHeight="1">
      <x:c r="A201" s="6"/>
      <x:c r="B201" s="6"/>
      <x:c r="C201" s="6"/>
      <x:c r="D201" s="6"/>
      <x:c r="E201" s="6"/>
      <x:c r="F201" s="6"/>
      <x:c r="G201" s="6"/>
      <x:c r="H201" s="6"/>
      <x:c r="I201" s="6"/>
      <x:c r="J201" s="6"/>
      <x:c r="K201" s="6"/>
      <x:c r="L201" s="6"/>
      <x:c r="M201" s="6"/>
      <x:c r="N201" s="6"/>
      <x:c r="O201" s="6"/>
      <x:c r="P201" s="6"/>
      <x:c r="Q201" s="6"/>
    </x:row>
    <x:row r="202" ht="19" customHeight="1">
      <x:c r="A202" s="6"/>
      <x:c r="B202" s="6"/>
      <x:c r="C202" s="6"/>
      <x:c r="D202" s="6"/>
      <x:c r="E202" s="6"/>
      <x:c r="F202" s="6"/>
      <x:c r="G202" s="6"/>
      <x:c r="H202" s="6"/>
      <x:c r="I202" s="6"/>
      <x:c r="J202" s="6"/>
      <x:c r="K202" s="6"/>
      <x:c r="L202" s="6"/>
      <x:c r="M202" s="6"/>
      <x:c r="N202" s="6"/>
      <x:c r="O202" s="6"/>
      <x:c r="P202" s="6"/>
      <x:c r="Q202" s="6"/>
    </x:row>
    <x:row r="203" ht="19" customHeight="1">
      <x:c r="A203" s="6"/>
      <x:c r="B203" s="6"/>
      <x:c r="C203" s="6"/>
      <x:c r="D203" s="6"/>
      <x:c r="E203" s="6"/>
      <x:c r="F203" s="6"/>
      <x:c r="G203" s="6"/>
      <x:c r="H203" s="6"/>
      <x:c r="I203" s="6"/>
      <x:c r="J203" s="6"/>
      <x:c r="K203" s="6"/>
      <x:c r="L203" s="6"/>
      <x:c r="M203" s="6"/>
      <x:c r="N203" s="6"/>
      <x:c r="O203" s="6"/>
      <x:c r="P203" s="6"/>
      <x:c r="Q203" s="6"/>
    </x:row>
    <x:row r="204" ht="19" customHeight="1">
      <x:c r="A204" s="6"/>
      <x:c r="B204" s="6"/>
      <x:c r="C204" s="6"/>
      <x:c r="D204" s="6"/>
      <x:c r="E204" s="6"/>
      <x:c r="F204" s="6"/>
      <x:c r="G204" s="6"/>
      <x:c r="H204" s="6"/>
      <x:c r="I204" s="6"/>
      <x:c r="J204" s="6"/>
      <x:c r="K204" s="6"/>
      <x:c r="L204" s="6"/>
      <x:c r="M204" s="6"/>
      <x:c r="N204" s="6"/>
      <x:c r="O204" s="6"/>
      <x:c r="P204" s="6"/>
      <x:c r="Q204" s="6"/>
    </x:row>
    <x:row r="205" ht="19" customHeight="1">
      <x:c r="A205" s="6"/>
      <x:c r="B205" s="6"/>
      <x:c r="C205" s="6"/>
      <x:c r="D205" s="6"/>
      <x:c r="E205" s="6"/>
      <x:c r="F205" s="6"/>
      <x:c r="G205" s="6"/>
      <x:c r="H205" s="6"/>
      <x:c r="I205" s="6"/>
      <x:c r="J205" s="6"/>
      <x:c r="K205" s="6"/>
      <x:c r="L205" s="6"/>
      <x:c r="M205" s="6"/>
      <x:c r="N205" s="6"/>
      <x:c r="O205" s="6"/>
      <x:c r="P205" s="6"/>
      <x:c r="Q205" s="6"/>
    </x:row>
    <x:row r="206" ht="19" customHeight="1">
      <x:c r="A206" s="6"/>
      <x:c r="B206" s="6"/>
      <x:c r="C206" s="6"/>
      <x:c r="D206" s="6"/>
      <x:c r="E206" s="6"/>
      <x:c r="F206" s="6"/>
      <x:c r="G206" s="6"/>
      <x:c r="H206" s="6"/>
      <x:c r="I206" s="6"/>
      <x:c r="J206" s="6"/>
      <x:c r="K206" s="6"/>
      <x:c r="L206" s="6"/>
      <x:c r="M206" s="6"/>
      <x:c r="N206" s="6"/>
      <x:c r="O206" s="6"/>
      <x:c r="P206" s="6"/>
      <x:c r="Q206" s="6"/>
    </x:row>
    <x:row r="207" ht="19" customHeight="1">
      <x:c r="A207" s="6"/>
      <x:c r="B207" s="6"/>
      <x:c r="C207" s="6"/>
      <x:c r="D207" s="6"/>
      <x:c r="E207" s="6"/>
      <x:c r="F207" s="6"/>
      <x:c r="G207" s="6"/>
      <x:c r="H207" s="6"/>
      <x:c r="I207" s="6"/>
      <x:c r="J207" s="6"/>
      <x:c r="K207" s="6"/>
      <x:c r="L207" s="6"/>
      <x:c r="M207" s="6"/>
      <x:c r="N207" s="6"/>
      <x:c r="O207" s="6"/>
      <x:c r="P207" s="6"/>
      <x:c r="Q207" s="6"/>
    </x:row>
    <x:row r="208" ht="19" customHeight="1">
      <x:c r="A208" s="6"/>
      <x:c r="B208" s="6"/>
      <x:c r="C208" s="6"/>
      <x:c r="D208" s="6"/>
      <x:c r="E208" s="6"/>
      <x:c r="F208" s="6"/>
      <x:c r="G208" s="6"/>
      <x:c r="H208" s="6"/>
      <x:c r="I208" s="6"/>
      <x:c r="J208" s="6"/>
      <x:c r="K208" s="6"/>
      <x:c r="L208" s="6"/>
      <x:c r="M208" s="6"/>
      <x:c r="N208" s="6"/>
      <x:c r="O208" s="6"/>
      <x:c r="P208" s="6"/>
      <x:c r="Q208" s="6"/>
    </x:row>
    <x:row r="209" ht="19" customHeight="1">
      <x:c r="A209" s="6"/>
      <x:c r="B209" s="6"/>
      <x:c r="C209" s="6"/>
      <x:c r="D209" s="6"/>
      <x:c r="E209" s="6"/>
      <x:c r="F209" s="6"/>
      <x:c r="G209" s="6"/>
      <x:c r="H209" s="6"/>
      <x:c r="I209" s="6"/>
      <x:c r="J209" s="6"/>
      <x:c r="K209" s="6"/>
      <x:c r="L209" s="6"/>
      <x:c r="M209" s="6"/>
      <x:c r="N209" s="6"/>
      <x:c r="O209" s="6"/>
      <x:c r="P209" s="6"/>
      <x:c r="Q209" s="6"/>
    </x:row>
    <x:row r="210" ht="19" customHeight="1">
      <x:c r="A210" s="6"/>
      <x:c r="B210" s="6"/>
      <x:c r="C210" s="6"/>
      <x:c r="D210" s="6"/>
      <x:c r="E210" s="6"/>
      <x:c r="F210" s="6"/>
      <x:c r="G210" s="6"/>
      <x:c r="H210" s="6"/>
      <x:c r="I210" s="6"/>
      <x:c r="J210" s="6"/>
      <x:c r="K210" s="6"/>
      <x:c r="L210" s="6"/>
      <x:c r="M210" s="6"/>
      <x:c r="N210" s="6"/>
      <x:c r="O210" s="6"/>
      <x:c r="P210" s="6"/>
      <x:c r="Q210" s="6"/>
    </x:row>
    <x:row r="211" ht="19" customHeight="1">
      <x:c r="A211" s="6"/>
      <x:c r="B211" s="6"/>
      <x:c r="C211" s="6"/>
      <x:c r="D211" s="6"/>
      <x:c r="E211" s="6"/>
      <x:c r="F211" s="6"/>
      <x:c r="G211" s="6"/>
      <x:c r="H211" s="6"/>
      <x:c r="I211" s="6"/>
      <x:c r="J211" s="6"/>
      <x:c r="K211" s="6"/>
      <x:c r="L211" s="6"/>
      <x:c r="M211" s="6"/>
      <x:c r="N211" s="6"/>
      <x:c r="O211" s="6"/>
      <x:c r="P211" s="6"/>
      <x:c r="Q211" s="6"/>
    </x:row>
    <x:row r="212" ht="19" customHeight="1">
      <x:c r="A212" s="6"/>
      <x:c r="B212" s="6"/>
      <x:c r="C212" s="6"/>
      <x:c r="D212" s="6"/>
      <x:c r="E212" s="6"/>
      <x:c r="F212" s="6"/>
      <x:c r="G212" s="6"/>
      <x:c r="H212" s="6"/>
      <x:c r="I212" s="6"/>
      <x:c r="J212" s="6"/>
      <x:c r="K212" s="6"/>
      <x:c r="L212" s="6"/>
      <x:c r="M212" s="6"/>
      <x:c r="N212" s="6"/>
      <x:c r="O212" s="6"/>
      <x:c r="P212" s="6"/>
      <x:c r="Q212" s="6"/>
    </x:row>
    <x:row r="213" ht="19" customHeight="1">
      <x:c r="A213" s="6"/>
      <x:c r="B213" s="6"/>
      <x:c r="C213" s="6"/>
      <x:c r="D213" s="6"/>
      <x:c r="E213" s="6"/>
      <x:c r="F213" s="6"/>
      <x:c r="G213" s="6"/>
      <x:c r="H213" s="6"/>
      <x:c r="I213" s="6"/>
      <x:c r="J213" s="6"/>
      <x:c r="K213" s="6"/>
      <x:c r="L213" s="6"/>
      <x:c r="M213" s="6"/>
      <x:c r="N213" s="6"/>
      <x:c r="O213" s="6"/>
      <x:c r="P213" s="6"/>
      <x:c r="Q213" s="6"/>
    </x:row>
    <x:row r="214" ht="19" customHeight="1">
      <x:c r="A214" s="6"/>
      <x:c r="B214" s="6"/>
      <x:c r="C214" s="6"/>
      <x:c r="D214" s="6"/>
      <x:c r="E214" s="6"/>
      <x:c r="F214" s="6"/>
      <x:c r="G214" s="6"/>
      <x:c r="H214" s="6"/>
      <x:c r="I214" s="6"/>
      <x:c r="J214" s="6"/>
      <x:c r="K214" s="6"/>
      <x:c r="L214" s="6"/>
      <x:c r="M214" s="6"/>
      <x:c r="N214" s="6"/>
      <x:c r="O214" s="6"/>
      <x:c r="P214" s="6"/>
      <x:c r="Q214" s="6"/>
    </x:row>
    <x:row r="215" ht="19" customHeight="1">
      <x:c r="A215" s="6"/>
      <x:c r="B215" s="6"/>
      <x:c r="C215" s="6"/>
      <x:c r="D215" s="6"/>
      <x:c r="E215" s="6"/>
      <x:c r="F215" s="6"/>
      <x:c r="G215" s="6"/>
      <x:c r="H215" s="6"/>
      <x:c r="I215" s="6"/>
      <x:c r="J215" s="6"/>
      <x:c r="K215" s="6"/>
      <x:c r="L215" s="6"/>
      <x:c r="M215" s="6"/>
      <x:c r="N215" s="6"/>
      <x:c r="O215" s="6"/>
      <x:c r="P215" s="6"/>
      <x:c r="Q215" s="6"/>
    </x:row>
    <x:row r="216" ht="19" customHeight="1">
      <x:c r="A216" s="6"/>
      <x:c r="B216" s="6"/>
      <x:c r="C216" s="6"/>
      <x:c r="D216" s="6"/>
      <x:c r="E216" s="6"/>
      <x:c r="F216" s="6"/>
      <x:c r="G216" s="6"/>
      <x:c r="H216" s="6"/>
      <x:c r="I216" s="6"/>
      <x:c r="J216" s="6"/>
      <x:c r="K216" s="6"/>
      <x:c r="L216" s="6"/>
      <x:c r="M216" s="6"/>
      <x:c r="N216" s="6"/>
      <x:c r="O216" s="6"/>
      <x:c r="P216" s="6"/>
      <x:c r="Q216" s="6"/>
    </x:row>
    <x:row r="217" ht="19" customHeight="1">
      <x:c r="A217" s="6"/>
      <x:c r="B217" s="6"/>
      <x:c r="C217" s="6"/>
      <x:c r="D217" s="6"/>
      <x:c r="E217" s="6"/>
      <x:c r="F217" s="6"/>
      <x:c r="G217" s="6"/>
      <x:c r="H217" s="6"/>
      <x:c r="I217" s="6"/>
      <x:c r="J217" s="6"/>
      <x:c r="K217" s="6"/>
      <x:c r="L217" s="6"/>
      <x:c r="M217" s="6"/>
      <x:c r="N217" s="6"/>
      <x:c r="O217" s="6"/>
      <x:c r="P217" s="6"/>
      <x:c r="Q217" s="6"/>
    </x:row>
    <x:row r="218" ht="19" customHeight="1">
      <x:c r="A218" s="6"/>
      <x:c r="B218" s="6"/>
      <x:c r="C218" s="6"/>
      <x:c r="D218" s="6"/>
      <x:c r="E218" s="6"/>
      <x:c r="F218" s="6"/>
      <x:c r="G218" s="6"/>
      <x:c r="H218" s="6"/>
      <x:c r="I218" s="6"/>
      <x:c r="J218" s="6"/>
      <x:c r="K218" s="6"/>
      <x:c r="L218" s="6"/>
      <x:c r="M218" s="6"/>
      <x:c r="N218" s="6"/>
      <x:c r="O218" s="6"/>
      <x:c r="P218" s="6"/>
      <x:c r="Q218" s="6"/>
    </x:row>
    <x:row r="219" ht="19" customHeight="1">
      <x:c r="A219" s="6"/>
      <x:c r="B219" s="6"/>
      <x:c r="C219" s="6"/>
      <x:c r="D219" s="6"/>
      <x:c r="E219" s="6"/>
      <x:c r="F219" s="6"/>
      <x:c r="G219" s="6"/>
      <x:c r="H219" s="6"/>
      <x:c r="I219" s="6"/>
      <x:c r="J219" s="6"/>
      <x:c r="K219" s="6"/>
      <x:c r="L219" s="6"/>
      <x:c r="M219" s="6"/>
      <x:c r="N219" s="6"/>
      <x:c r="O219" s="6"/>
      <x:c r="P219" s="6"/>
      <x:c r="Q219" s="6"/>
    </x:row>
    <x:row r="220" ht="19" customHeight="1">
      <x:c r="A220" s="6"/>
      <x:c r="B220" s="6"/>
      <x:c r="C220" s="6"/>
      <x:c r="D220" s="6"/>
      <x:c r="E220" s="6"/>
      <x:c r="F220" s="6"/>
      <x:c r="G220" s="6"/>
      <x:c r="H220" s="6"/>
      <x:c r="I220" s="6"/>
      <x:c r="J220" s="6"/>
      <x:c r="K220" s="6"/>
      <x:c r="L220" s="6"/>
      <x:c r="M220" s="6"/>
      <x:c r="N220" s="6"/>
      <x:c r="O220" s="6"/>
      <x:c r="P220" s="6"/>
      <x:c r="Q220" s="6"/>
    </x:row>
    <x:row r="221" ht="19" customHeight="1">
      <x:c r="A221" s="6"/>
      <x:c r="B221" s="6"/>
      <x:c r="C221" s="6"/>
      <x:c r="D221" s="6"/>
      <x:c r="E221" s="6"/>
      <x:c r="F221" s="6"/>
      <x:c r="G221" s="6"/>
      <x:c r="H221" s="6"/>
      <x:c r="I221" s="6"/>
      <x:c r="J221" s="6"/>
      <x:c r="K221" s="6"/>
      <x:c r="L221" s="6"/>
      <x:c r="M221" s="6"/>
      <x:c r="N221" s="6"/>
      <x:c r="O221" s="6"/>
      <x:c r="P221" s="6"/>
      <x:c r="Q221" s="6"/>
    </x:row>
    <x:row r="222" ht="19" customHeight="1">
      <x:c r="A222" s="6"/>
      <x:c r="B222" s="6"/>
      <x:c r="C222" s="6"/>
      <x:c r="D222" s="6"/>
      <x:c r="E222" s="6"/>
      <x:c r="F222" s="6"/>
      <x:c r="G222" s="6"/>
      <x:c r="H222" s="6"/>
      <x:c r="I222" s="6"/>
      <x:c r="J222" s="6"/>
      <x:c r="K222" s="6"/>
      <x:c r="L222" s="6"/>
      <x:c r="M222" s="6"/>
      <x:c r="N222" s="6"/>
      <x:c r="O222" s="6"/>
      <x:c r="P222" s="6"/>
      <x:c r="Q222" s="6"/>
    </x:row>
    <x:row r="223" ht="19" customHeight="1">
      <x:c r="A223" s="6"/>
      <x:c r="B223" s="6"/>
      <x:c r="C223" s="6"/>
      <x:c r="D223" s="6"/>
      <x:c r="E223" s="6"/>
      <x:c r="F223" s="6"/>
      <x:c r="G223" s="6"/>
      <x:c r="H223" s="6"/>
      <x:c r="I223" s="6"/>
      <x:c r="J223" s="6"/>
      <x:c r="K223" s="6"/>
      <x:c r="L223" s="6"/>
      <x:c r="M223" s="6"/>
      <x:c r="N223" s="6"/>
      <x:c r="O223" s="6"/>
      <x:c r="P223" s="6"/>
      <x:c r="Q223" s="6"/>
    </x:row>
    <x:row r="224" ht="19" customHeight="1">
      <x:c r="A224" s="6"/>
      <x:c r="B224" s="6"/>
      <x:c r="C224" s="6"/>
      <x:c r="D224" s="6"/>
      <x:c r="E224" s="6"/>
      <x:c r="F224" s="6"/>
      <x:c r="G224" s="6"/>
      <x:c r="H224" s="6"/>
      <x:c r="I224" s="6"/>
      <x:c r="J224" s="6"/>
      <x:c r="K224" s="6"/>
      <x:c r="L224" s="6"/>
      <x:c r="M224" s="6"/>
      <x:c r="N224" s="6"/>
      <x:c r="O224" s="6"/>
      <x:c r="P224" s="6"/>
      <x:c r="Q224" s="6"/>
    </x:row>
    <x:row r="225" ht="19" customHeight="1">
      <x:c r="A225" s="6"/>
      <x:c r="B225" s="6"/>
      <x:c r="C225" s="6"/>
      <x:c r="D225" s="6"/>
      <x:c r="E225" s="6"/>
      <x:c r="F225" s="6"/>
      <x:c r="G225" s="6"/>
      <x:c r="H225" s="6"/>
      <x:c r="I225" s="6"/>
      <x:c r="J225" s="6"/>
      <x:c r="K225" s="6"/>
      <x:c r="L225" s="6"/>
      <x:c r="M225" s="6"/>
      <x:c r="N225" s="6"/>
      <x:c r="O225" s="6"/>
      <x:c r="P225" s="6"/>
      <x:c r="Q225" s="6"/>
    </x:row>
    <x:row r="226" ht="19" customHeight="1">
      <x:c r="A226" s="6"/>
      <x:c r="B226" s="6"/>
      <x:c r="C226" s="6"/>
      <x:c r="D226" s="6"/>
      <x:c r="E226" s="6"/>
      <x:c r="F226" s="6"/>
      <x:c r="G226" s="6"/>
      <x:c r="H226" s="6"/>
      <x:c r="I226" s="6"/>
      <x:c r="J226" s="6"/>
      <x:c r="K226" s="6"/>
      <x:c r="L226" s="6"/>
      <x:c r="M226" s="6"/>
      <x:c r="N226" s="6"/>
      <x:c r="O226" s="6"/>
      <x:c r="P226" s="6"/>
      <x:c r="Q226" s="6"/>
    </x:row>
    <x:row r="227" ht="19" customHeight="1">
      <x:c r="A227" s="6"/>
      <x:c r="B227" s="6"/>
      <x:c r="C227" s="6"/>
      <x:c r="D227" s="6"/>
      <x:c r="E227" s="6"/>
      <x:c r="F227" s="6"/>
      <x:c r="G227" s="6"/>
      <x:c r="H227" s="6"/>
      <x:c r="I227" s="6"/>
      <x:c r="J227" s="6"/>
      <x:c r="K227" s="6"/>
      <x:c r="L227" s="6"/>
      <x:c r="M227" s="6"/>
      <x:c r="N227" s="6"/>
      <x:c r="O227" s="6"/>
      <x:c r="P227" s="6"/>
      <x:c r="Q227" s="6"/>
    </x:row>
    <x:row r="228" ht="19" customHeight="1">
      <x:c r="A228" s="6"/>
      <x:c r="B228" s="6"/>
      <x:c r="C228" s="6"/>
      <x:c r="D228" s="6"/>
      <x:c r="E228" s="6"/>
      <x:c r="F228" s="6"/>
      <x:c r="G228" s="6"/>
      <x:c r="H228" s="6"/>
      <x:c r="I228" s="6"/>
      <x:c r="J228" s="6"/>
      <x:c r="K228" s="6"/>
      <x:c r="L228" s="6"/>
      <x:c r="M228" s="6"/>
      <x:c r="N228" s="6"/>
      <x:c r="O228" s="6"/>
      <x:c r="P228" s="6"/>
      <x:c r="Q228" s="6"/>
    </x:row>
    <x:row r="229" ht="19" customHeight="1">
      <x:c r="A229" s="6"/>
      <x:c r="B229" s="6"/>
      <x:c r="C229" s="6"/>
      <x:c r="D229" s="6"/>
      <x:c r="E229" s="6"/>
      <x:c r="F229" s="6"/>
      <x:c r="G229" s="6"/>
      <x:c r="H229" s="6"/>
      <x:c r="I229" s="6"/>
      <x:c r="J229" s="6"/>
      <x:c r="K229" s="6"/>
      <x:c r="L229" s="6"/>
      <x:c r="M229" s="6"/>
      <x:c r="N229" s="6"/>
      <x:c r="O229" s="6"/>
      <x:c r="P229" s="6"/>
      <x:c r="Q229" s="6"/>
    </x:row>
    <x:row r="230" ht="19" customHeight="1">
      <x:c r="A230" s="6"/>
      <x:c r="B230" s="6"/>
      <x:c r="C230" s="6"/>
      <x:c r="D230" s="6"/>
      <x:c r="E230" s="6"/>
      <x:c r="F230" s="6"/>
      <x:c r="G230" s="6"/>
      <x:c r="H230" s="6"/>
      <x:c r="I230" s="6"/>
      <x:c r="J230" s="6"/>
      <x:c r="K230" s="6"/>
      <x:c r="L230" s="6"/>
      <x:c r="M230" s="6"/>
      <x:c r="N230" s="6"/>
      <x:c r="O230" s="6"/>
      <x:c r="P230" s="6"/>
      <x:c r="Q230" s="6"/>
    </x:row>
    <x:row r="231" ht="19" customHeight="1">
      <x:c r="A231" s="6"/>
      <x:c r="B231" s="6"/>
      <x:c r="C231" s="6"/>
      <x:c r="D231" s="6"/>
      <x:c r="E231" s="6"/>
      <x:c r="F231" s="6"/>
      <x:c r="G231" s="6"/>
      <x:c r="H231" s="6"/>
      <x:c r="I231" s="6"/>
      <x:c r="J231" s="6"/>
      <x:c r="K231" s="6"/>
      <x:c r="L231" s="6"/>
      <x:c r="M231" s="6"/>
      <x:c r="N231" s="6"/>
      <x:c r="O231" s="6"/>
      <x:c r="P231" s="6"/>
      <x:c r="Q231" s="6"/>
    </x:row>
    <x:row r="232" ht="19" customHeight="1">
      <x:c r="A232" s="6"/>
      <x:c r="B232" s="6"/>
      <x:c r="C232" s="6"/>
      <x:c r="D232" s="6"/>
      <x:c r="E232" s="6"/>
      <x:c r="F232" s="6"/>
      <x:c r="G232" s="6"/>
      <x:c r="H232" s="6"/>
      <x:c r="I232" s="6"/>
      <x:c r="J232" s="6"/>
      <x:c r="K232" s="6"/>
      <x:c r="L232" s="6"/>
      <x:c r="M232" s="6"/>
      <x:c r="N232" s="6"/>
      <x:c r="O232" s="6"/>
      <x:c r="P232" s="6"/>
      <x:c r="Q232" s="6"/>
    </x:row>
    <x:row r="233" ht="19" customHeight="1">
      <x:c r="A233" s="6"/>
      <x:c r="B233" s="6"/>
      <x:c r="C233" s="6"/>
      <x:c r="D233" s="6"/>
      <x:c r="E233" s="6"/>
      <x:c r="F233" s="6"/>
      <x:c r="G233" s="6"/>
      <x:c r="H233" s="6"/>
      <x:c r="I233" s="6"/>
      <x:c r="J233" s="6"/>
      <x:c r="K233" s="6"/>
      <x:c r="L233" s="6"/>
      <x:c r="M233" s="6"/>
      <x:c r="N233" s="6"/>
      <x:c r="O233" s="6"/>
      <x:c r="P233" s="6"/>
      <x:c r="Q233" s="6"/>
    </x:row>
    <x:row r="234" ht="19" customHeight="1">
      <x:c r="A234" s="6"/>
      <x:c r="B234" s="6"/>
      <x:c r="C234" s="6"/>
      <x:c r="D234" s="6"/>
      <x:c r="E234" s="6"/>
      <x:c r="F234" s="6"/>
      <x:c r="G234" s="6"/>
      <x:c r="H234" s="6"/>
      <x:c r="I234" s="6"/>
      <x:c r="J234" s="6"/>
      <x:c r="K234" s="6"/>
      <x:c r="L234" s="6"/>
      <x:c r="M234" s="6"/>
      <x:c r="N234" s="6"/>
      <x:c r="O234" s="6"/>
      <x:c r="P234" s="6"/>
      <x:c r="Q234" s="6"/>
    </x:row>
    <x:row r="235" ht="19" customHeight="1">
      <x:c r="A235" s="6"/>
      <x:c r="B235" s="6"/>
      <x:c r="C235" s="6"/>
      <x:c r="D235" s="6"/>
      <x:c r="E235" s="6"/>
      <x:c r="F235" s="6"/>
      <x:c r="G235" s="6"/>
      <x:c r="H235" s="6"/>
      <x:c r="I235" s="6"/>
      <x:c r="J235" s="6"/>
      <x:c r="K235" s="6"/>
      <x:c r="L235" s="6"/>
      <x:c r="M235" s="6"/>
      <x:c r="N235" s="6"/>
      <x:c r="O235" s="6"/>
      <x:c r="P235" s="6"/>
      <x:c r="Q235" s="6"/>
    </x:row>
    <x:row r="236" ht="19" customHeight="1">
      <x:c r="A236" s="6"/>
      <x:c r="B236" s="6"/>
      <x:c r="C236" s="6"/>
      <x:c r="D236" s="6"/>
      <x:c r="E236" s="6"/>
      <x:c r="F236" s="6"/>
      <x:c r="G236" s="6"/>
      <x:c r="H236" s="6"/>
      <x:c r="I236" s="6"/>
      <x:c r="J236" s="6"/>
      <x:c r="K236" s="6"/>
      <x:c r="L236" s="6"/>
      <x:c r="M236" s="6"/>
      <x:c r="N236" s="6"/>
      <x:c r="O236" s="6"/>
      <x:c r="P236" s="6"/>
      <x:c r="Q236" s="6"/>
    </x:row>
    <x:row r="237" ht="19" customHeight="1">
      <x:c r="A237" s="6"/>
      <x:c r="B237" s="6"/>
      <x:c r="C237" s="6"/>
      <x:c r="D237" s="6"/>
      <x:c r="E237" s="6"/>
      <x:c r="F237" s="6"/>
      <x:c r="G237" s="6"/>
      <x:c r="H237" s="6"/>
      <x:c r="I237" s="6"/>
      <x:c r="J237" s="6"/>
      <x:c r="K237" s="6"/>
      <x:c r="L237" s="6"/>
      <x:c r="M237" s="6"/>
      <x:c r="N237" s="6"/>
      <x:c r="O237" s="6"/>
      <x:c r="P237" s="6"/>
      <x:c r="Q237" s="6"/>
    </x:row>
    <x:row r="238" ht="19" customHeight="1">
      <x:c r="A238" s="6"/>
      <x:c r="B238" s="6"/>
      <x:c r="C238" s="6"/>
      <x:c r="D238" s="6"/>
      <x:c r="E238" s="6"/>
      <x:c r="F238" s="6"/>
      <x:c r="G238" s="6"/>
      <x:c r="H238" s="6"/>
      <x:c r="I238" s="6"/>
      <x:c r="J238" s="6"/>
      <x:c r="K238" s="6"/>
      <x:c r="L238" s="6"/>
      <x:c r="M238" s="6"/>
      <x:c r="N238" s="6"/>
      <x:c r="O238" s="6"/>
      <x:c r="P238" s="6"/>
      <x:c r="Q238" s="6"/>
    </x:row>
    <x:row r="239" ht="19" customHeight="1">
      <x:c r="A239" s="6"/>
      <x:c r="B239" s="6"/>
      <x:c r="C239" s="6"/>
      <x:c r="D239" s="6"/>
      <x:c r="E239" s="6"/>
      <x:c r="F239" s="6"/>
      <x:c r="G239" s="6"/>
      <x:c r="H239" s="6"/>
      <x:c r="I239" s="6"/>
      <x:c r="J239" s="6"/>
      <x:c r="K239" s="6"/>
      <x:c r="L239" s="6"/>
      <x:c r="M239" s="6"/>
      <x:c r="N239" s="6"/>
      <x:c r="O239" s="6"/>
      <x:c r="P239" s="6"/>
      <x:c r="Q239" s="6"/>
    </x:row>
    <x:row r="240" ht="19" customHeight="1">
      <x:c r="A240" s="6"/>
      <x:c r="B240" s="6"/>
      <x:c r="C240" s="6"/>
      <x:c r="D240" s="6"/>
      <x:c r="E240" s="6"/>
      <x:c r="F240" s="6"/>
      <x:c r="G240" s="6"/>
      <x:c r="H240" s="6"/>
      <x:c r="I240" s="6"/>
      <x:c r="J240" s="6"/>
      <x:c r="K240" s="6"/>
      <x:c r="L240" s="6"/>
      <x:c r="M240" s="6"/>
      <x:c r="N240" s="6"/>
      <x:c r="O240" s="6"/>
      <x:c r="P240" s="6"/>
      <x:c r="Q240" s="6"/>
    </x:row>
    <x:row r="241" ht="19" customHeight="1">
      <x:c r="A241" s="6"/>
      <x:c r="B241" s="6"/>
      <x:c r="C241" s="6"/>
      <x:c r="D241" s="6"/>
      <x:c r="E241" s="6"/>
      <x:c r="F241" s="6"/>
      <x:c r="G241" s="6"/>
      <x:c r="H241" s="6"/>
      <x:c r="I241" s="6"/>
      <x:c r="J241" s="6"/>
      <x:c r="K241" s="6"/>
      <x:c r="L241" s="6"/>
      <x:c r="M241" s="6"/>
      <x:c r="N241" s="6"/>
      <x:c r="O241" s="6"/>
      <x:c r="P241" s="6"/>
      <x:c r="Q241" s="6"/>
    </x:row>
    <x:row r="242" ht="19" customHeight="1">
      <x:c r="A242" s="6"/>
      <x:c r="B242" s="6"/>
      <x:c r="C242" s="6"/>
      <x:c r="D242" s="6"/>
      <x:c r="E242" s="6"/>
      <x:c r="F242" s="6"/>
      <x:c r="G242" s="6"/>
      <x:c r="H242" s="6"/>
      <x:c r="I242" s="6"/>
      <x:c r="J242" s="6"/>
      <x:c r="K242" s="6"/>
      <x:c r="L242" s="6"/>
      <x:c r="M242" s="6"/>
      <x:c r="N242" s="6"/>
      <x:c r="O242" s="6"/>
      <x:c r="P242" s="6"/>
      <x:c r="Q242" s="6"/>
    </x:row>
    <x:row r="243" ht="19" customHeight="1">
      <x:c r="A243" s="6"/>
      <x:c r="B243" s="6"/>
      <x:c r="C243" s="6"/>
      <x:c r="D243" s="6"/>
      <x:c r="E243" s="6"/>
      <x:c r="F243" s="6"/>
      <x:c r="G243" s="6"/>
      <x:c r="H243" s="6"/>
      <x:c r="I243" s="6"/>
      <x:c r="J243" s="6"/>
      <x:c r="K243" s="6"/>
      <x:c r="L243" s="6"/>
      <x:c r="M243" s="6"/>
      <x:c r="N243" s="6"/>
      <x:c r="O243" s="6"/>
      <x:c r="P243" s="6"/>
      <x:c r="Q243" s="6"/>
    </x:row>
    <x:row r="244" ht="19" customHeight="1">
      <x:c r="A244" s="6"/>
      <x:c r="B244" s="6"/>
      <x:c r="C244" s="6"/>
      <x:c r="D244" s="6"/>
      <x:c r="E244" s="6"/>
      <x:c r="F244" s="6"/>
      <x:c r="G244" s="6"/>
      <x:c r="H244" s="6"/>
      <x:c r="I244" s="6"/>
      <x:c r="J244" s="6"/>
      <x:c r="K244" s="6"/>
      <x:c r="L244" s="6"/>
      <x:c r="M244" s="6"/>
      <x:c r="N244" s="6"/>
      <x:c r="O244" s="6"/>
      <x:c r="P244" s="6"/>
      <x:c r="Q244" s="6"/>
    </x:row>
    <x:row r="245" ht="19" customHeight="1">
      <x:c r="A245" s="6"/>
      <x:c r="B245" s="6"/>
      <x:c r="C245" s="6"/>
      <x:c r="D245" s="6"/>
      <x:c r="E245" s="6"/>
      <x:c r="F245" s="6"/>
      <x:c r="G245" s="6"/>
      <x:c r="H245" s="6"/>
      <x:c r="I245" s="6"/>
      <x:c r="J245" s="6"/>
      <x:c r="K245" s="6"/>
      <x:c r="L245" s="6"/>
      <x:c r="M245" s="6"/>
      <x:c r="N245" s="6"/>
      <x:c r="O245" s="6"/>
      <x:c r="P245" s="6"/>
      <x:c r="Q245" s="6"/>
    </x:row>
    <x:row r="246" ht="19" customHeight="1">
      <x:c r="A246" s="6"/>
      <x:c r="B246" s="6"/>
      <x:c r="C246" s="6"/>
      <x:c r="D246" s="6"/>
      <x:c r="E246" s="6"/>
      <x:c r="F246" s="6"/>
      <x:c r="G246" s="6"/>
      <x:c r="H246" s="6"/>
      <x:c r="I246" s="6"/>
      <x:c r="J246" s="6"/>
      <x:c r="K246" s="6"/>
      <x:c r="L246" s="6"/>
      <x:c r="M246" s="6"/>
      <x:c r="N246" s="6"/>
      <x:c r="O246" s="6"/>
      <x:c r="P246" s="6"/>
      <x:c r="Q246" s="6"/>
    </x:row>
    <x:row r="247" ht="19" customHeight="1">
      <x:c r="A247" s="6"/>
      <x:c r="B247" s="6"/>
      <x:c r="C247" s="6"/>
      <x:c r="D247" s="6"/>
      <x:c r="E247" s="6"/>
      <x:c r="F247" s="6"/>
      <x:c r="G247" s="6"/>
      <x:c r="H247" s="6"/>
      <x:c r="I247" s="6"/>
      <x:c r="J247" s="6"/>
      <x:c r="K247" s="6"/>
      <x:c r="L247" s="6"/>
      <x:c r="M247" s="6"/>
      <x:c r="N247" s="6"/>
      <x:c r="O247" s="6"/>
      <x:c r="P247" s="6"/>
      <x:c r="Q247" s="6"/>
    </x:row>
    <x:row r="248" ht="19" customHeight="1">
      <x:c r="A248" s="6"/>
      <x:c r="B248" s="6"/>
      <x:c r="C248" s="6"/>
      <x:c r="D248" s="6"/>
      <x:c r="E248" s="6"/>
      <x:c r="F248" s="6"/>
      <x:c r="G248" s="6"/>
      <x:c r="H248" s="6"/>
      <x:c r="I248" s="6"/>
      <x:c r="J248" s="6"/>
      <x:c r="K248" s="6"/>
      <x:c r="L248" s="6"/>
      <x:c r="M248" s="6"/>
      <x:c r="N248" s="6"/>
      <x:c r="O248" s="6"/>
      <x:c r="P248" s="6"/>
      <x:c r="Q248" s="6"/>
    </x:row>
    <x:row r="249" ht="19" customHeight="1">
      <x:c r="A249" s="6"/>
      <x:c r="B249" s="6"/>
      <x:c r="C249" s="6"/>
      <x:c r="D249" s="6"/>
      <x:c r="E249" s="6"/>
      <x:c r="F249" s="6"/>
      <x:c r="G249" s="6"/>
      <x:c r="H249" s="6"/>
      <x:c r="I249" s="6"/>
      <x:c r="J249" s="6"/>
      <x:c r="K249" s="6"/>
      <x:c r="L249" s="6"/>
      <x:c r="M249" s="6"/>
      <x:c r="N249" s="6"/>
      <x:c r="O249" s="6"/>
      <x:c r="P249" s="6"/>
      <x:c r="Q249" s="6"/>
    </x:row>
    <x:row r="250" ht="19" customHeight="1">
      <x:c r="A250" s="6"/>
      <x:c r="B250" s="6"/>
      <x:c r="C250" s="6"/>
      <x:c r="D250" s="6"/>
      <x:c r="E250" s="6"/>
      <x:c r="F250" s="6"/>
      <x:c r="G250" s="6"/>
      <x:c r="H250" s="6"/>
      <x:c r="I250" s="6"/>
      <x:c r="J250" s="6"/>
      <x:c r="K250" s="6"/>
      <x:c r="L250" s="6"/>
      <x:c r="M250" s="6"/>
      <x:c r="N250" s="6"/>
      <x:c r="O250" s="6"/>
      <x:c r="P250" s="6"/>
      <x:c r="Q250" s="6"/>
    </x:row>
    <x:row r="251" ht="19" customHeight="1">
      <x:c r="A251" s="6"/>
      <x:c r="B251" s="6"/>
      <x:c r="C251" s="6"/>
      <x:c r="D251" s="6"/>
      <x:c r="E251" s="6"/>
      <x:c r="F251" s="6"/>
      <x:c r="G251" s="6"/>
      <x:c r="H251" s="6"/>
      <x:c r="I251" s="6"/>
      <x:c r="J251" s="6"/>
      <x:c r="K251" s="6"/>
      <x:c r="L251" s="6"/>
      <x:c r="M251" s="6"/>
      <x:c r="N251" s="6"/>
      <x:c r="O251" s="6"/>
      <x:c r="P251" s="6"/>
      <x:c r="Q251" s="6"/>
    </x:row>
    <x:row r="252" ht="19" customHeight="1">
      <x:c r="A252" s="6"/>
      <x:c r="B252" s="6"/>
      <x:c r="C252" s="6"/>
      <x:c r="D252" s="6"/>
      <x:c r="E252" s="6"/>
      <x:c r="F252" s="6"/>
      <x:c r="G252" s="6"/>
      <x:c r="H252" s="6"/>
      <x:c r="I252" s="6"/>
      <x:c r="J252" s="6"/>
      <x:c r="K252" s="6"/>
      <x:c r="L252" s="6"/>
      <x:c r="M252" s="6"/>
      <x:c r="N252" s="6"/>
      <x:c r="O252" s="6"/>
      <x:c r="P252" s="6"/>
      <x:c r="Q252" s="6"/>
    </x:row>
    <x:row r="253" ht="19" customHeight="1">
      <x:c r="A253" s="6"/>
      <x:c r="B253" s="6"/>
      <x:c r="C253" s="6"/>
      <x:c r="D253" s="6"/>
      <x:c r="E253" s="6"/>
      <x:c r="F253" s="6"/>
      <x:c r="G253" s="6"/>
      <x:c r="H253" s="6"/>
      <x:c r="I253" s="6"/>
      <x:c r="J253" s="6"/>
      <x:c r="K253" s="6"/>
      <x:c r="L253" s="6"/>
      <x:c r="M253" s="6"/>
      <x:c r="N253" s="6"/>
      <x:c r="O253" s="6"/>
      <x:c r="P253" s="6"/>
      <x:c r="Q253" s="6"/>
    </x:row>
    <x:row r="254" ht="19" customHeight="1">
      <x:c r="A254" s="6"/>
      <x:c r="B254" s="6"/>
      <x:c r="C254" s="6"/>
      <x:c r="D254" s="6"/>
      <x:c r="E254" s="6"/>
      <x:c r="F254" s="6"/>
      <x:c r="G254" s="6"/>
      <x:c r="H254" s="6"/>
      <x:c r="I254" s="6"/>
      <x:c r="J254" s="6"/>
      <x:c r="K254" s="6"/>
      <x:c r="L254" s="6"/>
      <x:c r="M254" s="6"/>
      <x:c r="N254" s="6"/>
      <x:c r="O254" s="6"/>
      <x:c r="P254" s="6"/>
      <x:c r="Q254" s="6"/>
    </x:row>
    <x:row r="255" ht="19" customHeight="1">
      <x:c r="A255" s="6"/>
      <x:c r="B255" s="6"/>
      <x:c r="C255" s="6"/>
      <x:c r="D255" s="6"/>
      <x:c r="E255" s="6"/>
      <x:c r="F255" s="6"/>
      <x:c r="G255" s="6"/>
      <x:c r="H255" s="6"/>
      <x:c r="I255" s="6"/>
      <x:c r="J255" s="6"/>
      <x:c r="K255" s="6"/>
      <x:c r="L255" s="6"/>
      <x:c r="M255" s="6"/>
      <x:c r="N255" s="6"/>
      <x:c r="O255" s="6"/>
      <x:c r="P255" s="6"/>
      <x:c r="Q255" s="6"/>
    </x:row>
    <x:row r="256" ht="19" customHeight="1">
      <x:c r="A256" s="6"/>
      <x:c r="B256" s="6"/>
      <x:c r="C256" s="6"/>
      <x:c r="D256" s="6"/>
      <x:c r="E256" s="6"/>
      <x:c r="F256" s="6"/>
      <x:c r="G256" s="6"/>
      <x:c r="H256" s="6"/>
      <x:c r="I256" s="6"/>
      <x:c r="J256" s="6"/>
      <x:c r="K256" s="6"/>
      <x:c r="L256" s="6"/>
      <x:c r="M256" s="6"/>
      <x:c r="N256" s="6"/>
      <x:c r="O256" s="6"/>
      <x:c r="P256" s="6"/>
      <x:c r="Q256" s="6"/>
    </x:row>
    <x:row r="257" ht="19" customHeight="1">
      <x:c r="A257" s="6"/>
      <x:c r="B257" s="6"/>
      <x:c r="C257" s="6"/>
      <x:c r="D257" s="6"/>
      <x:c r="E257" s="6"/>
      <x:c r="F257" s="6"/>
      <x:c r="G257" s="6"/>
      <x:c r="H257" s="6"/>
      <x:c r="I257" s="6"/>
      <x:c r="J257" s="6"/>
      <x:c r="K257" s="6"/>
      <x:c r="L257" s="6"/>
      <x:c r="M257" s="6"/>
      <x:c r="N257" s="6"/>
      <x:c r="O257" s="6"/>
      <x:c r="P257" s="6"/>
      <x:c r="Q257" s="6"/>
    </x:row>
    <x:row r="258" ht="19" customHeight="1">
      <x:c r="A258" s="6"/>
      <x:c r="B258" s="6"/>
      <x:c r="C258" s="6"/>
      <x:c r="D258" s="6"/>
      <x:c r="E258" s="6"/>
      <x:c r="F258" s="6"/>
      <x:c r="G258" s="6"/>
      <x:c r="H258" s="6"/>
      <x:c r="I258" s="6"/>
      <x:c r="J258" s="6"/>
      <x:c r="K258" s="6"/>
      <x:c r="L258" s="6"/>
      <x:c r="M258" s="6"/>
      <x:c r="N258" s="6"/>
      <x:c r="O258" s="6"/>
      <x:c r="P258" s="6"/>
      <x:c r="Q258" s="6"/>
    </x:row>
    <x:row r="259" ht="19" customHeight="1">
      <x:c r="A259" s="6"/>
      <x:c r="B259" s="6"/>
      <x:c r="C259" s="6"/>
      <x:c r="D259" s="6"/>
      <x:c r="E259" s="6"/>
      <x:c r="F259" s="6"/>
      <x:c r="G259" s="6"/>
      <x:c r="H259" s="6"/>
      <x:c r="I259" s="6"/>
      <x:c r="J259" s="6"/>
      <x:c r="K259" s="6"/>
      <x:c r="L259" s="6"/>
      <x:c r="M259" s="6"/>
      <x:c r="N259" s="6"/>
      <x:c r="O259" s="6"/>
      <x:c r="P259" s="6"/>
      <x:c r="Q259" s="6"/>
    </x:row>
    <x:row r="260" ht="19" customHeight="1">
      <x:c r="A260" s="6"/>
      <x:c r="B260" s="6"/>
      <x:c r="C260" s="6"/>
      <x:c r="D260" s="6"/>
      <x:c r="E260" s="6"/>
      <x:c r="F260" s="6"/>
      <x:c r="G260" s="6"/>
      <x:c r="H260" s="6"/>
      <x:c r="I260" s="6"/>
      <x:c r="J260" s="6"/>
      <x:c r="K260" s="6"/>
      <x:c r="L260" s="6"/>
      <x:c r="M260" s="6"/>
      <x:c r="N260" s="6"/>
      <x:c r="O260" s="6"/>
      <x:c r="P260" s="6"/>
      <x:c r="Q260" s="6"/>
    </x:row>
  </x:sheetData>
  <x:mergeCells>
    <x:mergeCell ref="A1:H2"/>
    <x:mergeCell ref="A3:H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7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4" hidden="0" customWidth="1"/>
  </x:cols>
  <x:sheetData>
    <x:row r="1" ht="24" customHeight="1">
      <x:c r="A1" s="10" t="str">
        <x:v>Коллективные матрицы МАИ и проверка согласованности</x:v>
      </x:c>
      <x:c r="B1" s="10"/>
      <x:c r="C1" s="10"/>
      <x:c r="D1" s="10"/>
      <x:c r="E1" s="10"/>
      <x:c r="F1" s="10"/>
      <x:c r="G1" s="10"/>
      <x:c r="H1" s="10"/>
      <x:c r="I1" s="10"/>
      <x:c r="J1" s="6"/>
      <x:c r="K1" s="6"/>
      <x:c r="L1" s="6"/>
      <x:c r="M1" s="6"/>
      <x:c r="N1" s="6"/>
      <x:c r="O1" s="6"/>
      <x:c r="P1" s="6"/>
      <x:c r="Q1" s="6"/>
    </x:row>
    <x:row r="2" ht="24" customHeight="1">
      <x:c r="A2" s="10"/>
      <x:c r="B2" s="10"/>
      <x:c r="C2" s="10"/>
      <x:c r="D2" s="10"/>
      <x:c r="E2" s="10"/>
      <x:c r="F2" s="10"/>
      <x:c r="G2" s="10"/>
      <x:c r="H2" s="10"/>
      <x:c r="I2" s="10"/>
      <x:c r="J2" s="6"/>
      <x:c r="K2" s="6"/>
      <x:c r="L2" s="6"/>
      <x:c r="M2" s="6"/>
      <x:c r="N2" s="6"/>
      <x:c r="O2" s="6"/>
      <x:c r="P2" s="6"/>
      <x:c r="Q2" s="6"/>
    </x:row>
    <x:row r="3" ht="19" customHeight="1">
      <x:c r="A3" s="6" t="str">
        <x:v>Матрица группы — геометрическое среднее индивидуальных попарных суждений; локальные приоритеты — нормированные геометрические средние строк.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</x:row>
    <x:row r="4" ht="19" customHeight="1">
      <x:c r="A4" s="6"/>
      <x:c r="B4" s="6"/>
      <x:c r="C4" s="6"/>
      <x:c r="D4" s="6"/>
      <x:c r="E4" s="6"/>
      <x:c r="F4" s="6"/>
      <x:c r="G4" s="6"/>
      <x:c r="H4" s="6"/>
      <x:c r="I4" s="6"/>
      <x:c r="J4" s="6"/>
      <x:c r="K4" s="6"/>
      <x:c r="L4" s="6"/>
      <x:c r="M4" s="6"/>
      <x:c r="N4" s="6"/>
      <x:c r="O4" s="6"/>
      <x:c r="P4" s="6"/>
      <x:c r="Q4" s="6"/>
    </x:row>
    <x:row r="5" ht="26" customHeight="1">
      <x:c r="A5" s="25" t="str">
        <x:v>Критерии K1–K5</x:v>
      </x:c>
      <x:c r="B5" s="25"/>
      <x:c r="C5" s="25"/>
      <x:c r="D5" s="25"/>
      <x:c r="E5" s="25"/>
      <x:c r="F5" s="25"/>
      <x:c r="G5" s="25"/>
      <x:c r="H5" s="25"/>
      <x:c r="I5" s="25"/>
      <x:c r="J5" s="6"/>
      <x:c r="K5" s="6"/>
      <x:c r="L5" s="6"/>
      <x:c r="M5" s="6"/>
      <x:c r="N5" s="6"/>
      <x:c r="O5" s="6"/>
      <x:c r="P5" s="6"/>
      <x:c r="Q5" s="6"/>
    </x:row>
    <x:row r="6" ht="30" customHeight="1">
      <x:c r="A6" s="17" t="str">
        <x:v>Объект</x:v>
      </x:c>
      <x:c r="B6" s="17" t="str">
        <x:v>K1</x:v>
      </x:c>
      <x:c r="C6" s="17" t="str">
        <x:v>K2</x:v>
      </x:c>
      <x:c r="D6" s="17" t="str">
        <x:v>K3</x:v>
      </x:c>
      <x:c r="E6" s="17" t="str">
        <x:v>K4</x:v>
      </x:c>
      <x:c r="F6" s="17" t="str">
        <x:v>K5</x:v>
      </x:c>
      <x:c r="G6" s="17" t="str">
        <x:v>Геом.</x:v>
      </x:c>
      <x:c r="H6" s="17" t="str">
        <x:v>Приоритет</x:v>
      </x:c>
      <x:c r="I6" s="17" t="str">
        <x:v>(Aw)/w</x:v>
      </x:c>
      <x:c r="J6" s="6"/>
      <x:c r="K6" s="6"/>
      <x:c r="L6" s="6"/>
      <x:c r="M6" s="6"/>
      <x:c r="N6" s="6"/>
      <x:c r="O6" s="6"/>
      <x:c r="P6" s="6"/>
      <x:c r="Q6" s="6"/>
    </x:row>
    <x:row r="7" ht="19" customHeight="1">
      <x:c r="A7" s="6" t="str">
        <x:v>K1</x:v>
      </x:c>
      <x:c r="B7" s="34" t="n">
        <x:f>1</x:f>
        <x:v>1</x:v>
      </x:c>
      <x:c r="C7" s="34" t="n">
        <x:f>'МАИ суждения'!H5</x:f>
        <x:v>1</x:v>
      </x:c>
      <x:c r="D7" s="34" t="n">
        <x:f>'МАИ суждения'!H6</x:f>
        <x:v>2</x:v>
      </x:c>
      <x:c r="E7" s="34" t="n">
        <x:f>'МАИ суждения'!H7</x:f>
        <x:v>3.3019272488946263</x:v>
      </x:c>
      <x:c r="F7" s="34" t="n">
        <x:f>'МАИ суждения'!H8</x:f>
        <x:v>3.3019272488946263</x:v>
      </x:c>
      <x:c r="G7" s="34" t="n">
        <x:f>(PRODUCT(B7:F7))^(1/5)</x:f>
        <x:v>1.85230713339317</x:v>
      </x:c>
      <x:c r="H7" s="34" t="n">
        <x:f>G7/SUM($G$7:$G$11)</x:f>
        <x:v>0.3177685595323296</x:v>
      </x:c>
      <x:c r="I7" s="34" t="n">
        <x:f>(B7*$H$7+C7*$H$8+D7*$H$9+E7*$H$10+F7*$H$11)/H7</x:f>
        <x:v>5.045214815256082</x:v>
      </x:c>
      <x:c r="J7" s="6"/>
      <x:c r="K7" s="6"/>
      <x:c r="L7" s="6"/>
      <x:c r="M7" s="6"/>
      <x:c r="N7" s="6"/>
      <x:c r="O7" s="6"/>
      <x:c r="P7" s="6"/>
      <x:c r="Q7" s="6"/>
    </x:row>
    <x:row r="8" ht="19" customHeight="1">
      <x:c r="A8" s="6" t="str">
        <x:v>K2</x:v>
      </x:c>
      <x:c r="B8" s="34" t="n">
        <x:f>1/'МАИ суждения'!H5</x:f>
        <x:v>1</x:v>
      </x:c>
      <x:c r="C8" s="34" t="n">
        <x:f>1</x:f>
        <x:v>1</x:v>
      </x:c>
      <x:c r="D8" s="34" t="n">
        <x:f>'МАИ суждения'!H9</x:f>
        <x:v>2</x:v>
      </x:c>
      <x:c r="E8" s="34" t="n">
        <x:f>'МАИ суждения'!H10</x:f>
        <x:v>3</x:v>
      </x:c>
      <x:c r="F8" s="34" t="n">
        <x:f>'МАИ суждения'!H11</x:f>
        <x:v>3.634241185664279</x:v>
      </x:c>
      <x:c r="G8" s="34" t="n">
        <x:f>(PRODUCT(B8:F8))^(1/5)</x:f>
        <x:v>1.85230713339317</x:v>
      </x:c>
      <x:c r="H8" s="34" t="n">
        <x:f>G8/SUM($G$7:$G$11)</x:f>
        <x:v>0.3177685595323296</x:v>
      </x:c>
      <x:c r="I8" s="34" t="n">
        <x:f>(B8*$H$7+C8*$H$8+D8*$H$9+E8*$H$10+F8*$H$11)/H8</x:f>
        <x:v>5.020535995113327</x:v>
      </x:c>
      <x:c r="J8" s="6"/>
      <x:c r="K8" s="6"/>
      <x:c r="L8" s="6"/>
      <x:c r="M8" s="6"/>
      <x:c r="N8" s="6"/>
      <x:c r="O8" s="6"/>
      <x:c r="P8" s="6"/>
      <x:c r="Q8" s="6"/>
    </x:row>
    <x:row r="9" ht="19" customHeight="1">
      <x:c r="A9" s="6" t="str">
        <x:v>K3</x:v>
      </x:c>
      <x:c r="B9" s="34" t="n">
        <x:f>1/'МАИ суждения'!H6</x:f>
        <x:v>0.5</x:v>
      </x:c>
      <x:c r="C9" s="34" t="n">
        <x:f>1/'МАИ суждения'!H9</x:f>
        <x:v>0.5</x:v>
      </x:c>
      <x:c r="D9" s="34" t="n">
        <x:f>1</x:f>
        <x:v>1</x:v>
      </x:c>
      <x:c r="E9" s="34" t="n">
        <x:f>'МАИ суждения'!H12</x:f>
        <x:v>2</x:v>
      </x:c>
      <x:c r="F9" s="34" t="n">
        <x:f>'МАИ суждения'!H13</x:f>
        <x:v>2.6207413942088964</x:v>
      </x:c>
      <x:c r="G9" s="34" t="n">
        <x:f>(PRODUCT(B9:F9))^(1/5)</x:f>
        <x:v>1.0555500594442409</x:v>
      </x:c>
      <x:c r="H9" s="34" t="n">
        <x:f>G9/SUM($G$7:$G$11)</x:f>
        <x:v>0.18108261629885167</x:v>
      </x:c>
      <x:c r="I9" s="34" t="n">
        <x:f>(B9*$H$7+C9*$H$8+D9*$H$9+E9*$H$10+F9*$H$11)/H9</x:f>
        <x:v>5.037068134155431</x:v>
      </x:c>
      <x:c r="J9" s="6"/>
      <x:c r="K9" s="6"/>
      <x:c r="L9" s="6"/>
      <x:c r="M9" s="6"/>
      <x:c r="N9" s="6"/>
      <x:c r="O9" s="6"/>
      <x:c r="P9" s="6"/>
      <x:c r="Q9" s="6"/>
    </x:row>
    <x:row r="10" ht="19" customHeight="1">
      <x:c r="A10" s="6" t="str">
        <x:v>K4</x:v>
      </x:c>
      <x:c r="B10" s="34" t="n">
        <x:f>1/'МАИ суждения'!H7</x:f>
        <x:v>0.30285343213869</x:v>
      </x:c>
      <x:c r="C10" s="34" t="n">
        <x:f>1/'МАИ суждения'!H10</x:f>
        <x:v>0.3333333333333333</x:v>
      </x:c>
      <x:c r="D10" s="34" t="n">
        <x:f>1/'МАИ суждения'!H12</x:f>
        <x:v>0.5</x:v>
      </x:c>
      <x:c r="E10" s="34" t="n">
        <x:f>1</x:f>
        <x:v>1</x:v>
      </x:c>
      <x:c r="F10" s="34" t="n">
        <x:f>'МАИ суждения'!H14</x:f>
        <x:v>2</x:v>
      </x:c>
      <x:c r="G10" s="34" t="n">
        <x:f>(PRODUCT(B10:F10))^(1/5)</x:f>
        <x:v>0.6321530665208571</x:v>
      </x:c>
      <x:c r="H10" s="34" t="n">
        <x:f>G10/SUM($G$7:$G$11)</x:f>
        <x:v>0.10844765737326528</x:v>
      </x:c>
      <x:c r="I10" s="34" t="n">
        <x:f>(B10*$H$7+C10*$H$8+D10*$H$9+E10*$H$10+F10*$H$11)/H10</x:f>
        <x:v>5.08092424910741</x:v>
      </x:c>
      <x:c r="J10" s="6"/>
      <x:c r="K10" s="6"/>
      <x:c r="L10" s="6"/>
      <x:c r="M10" s="6"/>
      <x:c r="N10" s="6"/>
      <x:c r="O10" s="6"/>
      <x:c r="P10" s="6"/>
      <x:c r="Q10" s="6"/>
    </x:row>
    <x:row r="11" ht="19" customHeight="1">
      <x:c r="A11" s="6" t="str">
        <x:v>K5</x:v>
      </x:c>
      <x:c r="B11" s="34" t="n">
        <x:f>1/'МАИ суждения'!H8</x:f>
        <x:v>0.30285343213869</x:v>
      </x:c>
      <x:c r="C11" s="34" t="n">
        <x:f>1/'МАИ суждения'!H11</x:f>
        <x:v>0.27516060407455223</x:v>
      </x:c>
      <x:c r="D11" s="34" t="n">
        <x:f>1/'МАИ суждения'!H13</x:f>
        <x:v>0.381571414184444</x:v>
      </x:c>
      <x:c r="E11" s="34" t="n">
        <x:f>1/'МАИ суждения'!H14</x:f>
        <x:v>0.5</x:v>
      </x:c>
      <x:c r="F11" s="34" t="n">
        <x:f>1</x:f>
        <x:v>1</x:v>
      </x:c>
      <x:c r="G11" s="34" t="n">
        <x:f>(PRODUCT(B11:F11))^(1/5)</x:f>
        <x:v>0.43679023236814946</x:v>
      </x:c>
      <x:c r="H11" s="34" t="n">
        <x:f>G11/SUM($G$7:$G$11)</x:f>
        <x:v>0.07493260726322383</x:v>
      </x:c>
      <x:c r="I11" s="34" t="n">
        <x:f>(B11*$H$7+C11*$H$8+D11*$H$9+E11*$H$10+F11*$H$11)/H11</x:f>
        <x:v>5.09694093881642</x:v>
      </x:c>
      <x:c r="J11" s="6"/>
      <x:c r="K11" s="6"/>
      <x:c r="L11" s="6"/>
      <x:c r="M11" s="6"/>
      <x:c r="N11" s="6"/>
      <x:c r="O11" s="6"/>
      <x:c r="P11" s="6"/>
      <x:c r="Q11" s="6"/>
    </x:row>
    <x:row r="12" ht="19" customHeight="1">
      <x:c r="A12" s="6"/>
      <x:c r="B12" s="6"/>
      <x:c r="C12" s="6"/>
      <x:c r="D12" s="6"/>
      <x:c r="E12" s="6"/>
      <x:c r="F12" s="6"/>
      <x:c r="G12" s="6"/>
      <x:c r="H12" s="6"/>
      <x:c r="I12" s="6"/>
      <x:c r="J12" s="6"/>
      <x:c r="K12" s="6"/>
      <x:c r="L12" s="6"/>
      <x:c r="M12" s="6"/>
      <x:c r="N12" s="6"/>
      <x:c r="O12" s="6"/>
      <x:c r="P12" s="6"/>
      <x:c r="Q12" s="6"/>
    </x:row>
    <x:row r="13" ht="19" customHeight="1">
      <x:c r="A13" s="32" t="str">
        <x:v>λmax</x:v>
      </x:c>
      <x:c r="B13" s="38" t="n">
        <x:f>AVERAGE(I7:I11)</x:f>
        <x:v>5.056136826489734</x:v>
      </x:c>
      <x:c r="C13" s="32" t="str">
        <x:v>CI</x:v>
      </x:c>
      <x:c r="D13" s="38" t="n">
        <x:f>(B13-5)/(5-1)</x:f>
        <x:v>0.014034206622433487</x:v>
      </x:c>
      <x:c r="E13" s="32" t="str">
        <x:v>CR</x:v>
      </x:c>
      <x:c r="F13" s="38" t="n">
        <x:f>D13/1.12</x:f>
        <x:v>0.012530541627172756</x:v>
      </x:c>
      <x:c r="G13" s="32" t="str">
        <x:v>Статус</x:v>
      </x:c>
      <x:c r="H13" s="32" t="str">
        <x:f>IF(F13&lt;=0.1,"OK","Пересмотреть")</x:f>
        <x:v>OK</x:v>
      </x:c>
      <x:c r="I13" s="6"/>
      <x:c r="J13" s="6"/>
      <x:c r="K13" s="6"/>
      <x:c r="L13" s="6"/>
      <x:c r="M13" s="6"/>
      <x:c r="N13" s="6"/>
      <x:c r="O13" s="6"/>
      <x:c r="P13" s="6"/>
      <x:c r="Q13" s="6"/>
    </x:row>
    <x:row r="14" ht="19" customHeight="1">
      <x:c r="A14" s="6"/>
      <x:c r="B14" s="6"/>
      <x:c r="C14" s="6"/>
      <x:c r="D14" s="6"/>
      <x:c r="E14" s="6"/>
      <x:c r="F14" s="6"/>
      <x:c r="G14" s="6"/>
      <x:c r="H14" s="6"/>
      <x:c r="I14" s="6"/>
      <x:c r="J14" s="6"/>
      <x:c r="K14" s="6"/>
      <x:c r="L14" s="6"/>
      <x:c r="M14" s="6"/>
      <x:c r="N14" s="6"/>
      <x:c r="O14" s="6"/>
      <x:c r="P14" s="6"/>
      <x:c r="Q14" s="6"/>
    </x:row>
    <x:row r="15" ht="19" customHeight="1">
      <x:c r="A15" s="6"/>
      <x:c r="B15" s="6"/>
      <x:c r="C15" s="6"/>
      <x:c r="D15" s="6"/>
      <x:c r="E15" s="6"/>
      <x:c r="F15" s="6"/>
      <x:c r="G15" s="6"/>
      <x:c r="H15" s="6"/>
      <x:c r="I15" s="6"/>
      <x:c r="J15" s="6"/>
      <x:c r="K15" s="6"/>
      <x:c r="L15" s="6"/>
      <x:c r="M15" s="6"/>
      <x:c r="N15" s="6"/>
      <x:c r="O15" s="6"/>
      <x:c r="P15" s="6"/>
      <x:c r="Q15" s="6"/>
    </x:row>
    <x:row r="16" ht="19" customHeight="1">
      <x:c r="A16" s="6"/>
      <x:c r="B16" s="6"/>
      <x:c r="C16" s="6"/>
      <x:c r="D16" s="6"/>
      <x:c r="E16" s="6"/>
      <x:c r="F16" s="6"/>
      <x:c r="G16" s="6"/>
      <x:c r="H16" s="6"/>
      <x:c r="I16" s="6"/>
      <x:c r="J16" s="6"/>
      <x:c r="K16" s="6"/>
      <x:c r="L16" s="6"/>
      <x:c r="M16" s="6"/>
      <x:c r="N16" s="6"/>
      <x:c r="O16" s="6"/>
      <x:c r="P16" s="6"/>
      <x:c r="Q16" s="6"/>
    </x:row>
    <x:row r="17" ht="19" customHeight="1">
      <x:c r="A17" s="6"/>
      <x:c r="B17" s="6"/>
      <x:c r="C17" s="6"/>
      <x:c r="D17" s="6"/>
      <x:c r="E17" s="6"/>
      <x:c r="F17" s="6"/>
      <x:c r="G17" s="6"/>
      <x:c r="H17" s="6"/>
      <x:c r="I17" s="6"/>
      <x:c r="J17" s="6"/>
      <x:c r="K17" s="6"/>
      <x:c r="L17" s="6"/>
      <x:c r="M17" s="6"/>
      <x:c r="N17" s="6"/>
      <x:c r="O17" s="6"/>
      <x:c r="P17" s="6"/>
      <x:c r="Q17" s="6"/>
    </x:row>
    <x:row r="18" ht="26" customHeight="1">
      <x:c r="A18" s="25" t="str">
        <x:v>Альтернативы по K1</x:v>
      </x:c>
      <x:c r="B18" s="25"/>
      <x:c r="C18" s="25"/>
      <x:c r="D18" s="25"/>
      <x:c r="E18" s="25"/>
      <x:c r="F18" s="25"/>
      <x:c r="G18" s="25"/>
      <x:c r="H18" s="25"/>
      <x:c r="I18" s="25"/>
      <x:c r="J18" s="6"/>
      <x:c r="K18" s="6"/>
      <x:c r="L18" s="6"/>
      <x:c r="M18" s="6"/>
      <x:c r="N18" s="6"/>
      <x:c r="O18" s="6"/>
      <x:c r="P18" s="6"/>
      <x:c r="Q18" s="6"/>
    </x:row>
    <x:row r="19" ht="30" customHeight="1">
      <x:c r="A19" s="17" t="str">
        <x:v>Объект</x:v>
      </x:c>
      <x:c r="B19" s="17" t="str">
        <x:v>A1</x:v>
      </x:c>
      <x:c r="C19" s="17" t="str">
        <x:v>A2</x:v>
      </x:c>
      <x:c r="D19" s="17" t="str">
        <x:v>A3</x:v>
      </x:c>
      <x:c r="E19" s="17" t="str">
        <x:v>A4</x:v>
      </x:c>
      <x:c r="F19" s="17" t="str">
        <x:v>Геом.</x:v>
      </x:c>
      <x:c r="G19" s="17" t="str">
        <x:v>Приоритет</x:v>
      </x:c>
      <x:c r="H19" s="17" t="str">
        <x:v>(Aw)/w</x:v>
      </x:c>
      <x:c r="I19" s="6"/>
      <x:c r="J19" s="6"/>
      <x:c r="K19" s="6"/>
      <x:c r="L19" s="6"/>
      <x:c r="M19" s="6"/>
      <x:c r="N19" s="6"/>
      <x:c r="O19" s="6"/>
      <x:c r="P19" s="6"/>
      <x:c r="Q19" s="6"/>
    </x:row>
    <x:row r="20" ht="19" customHeight="1">
      <x:c r="A20" s="6" t="str">
        <x:v>A1</x:v>
      </x:c>
      <x:c r="B20" s="34" t="n">
        <x:f>1</x:f>
        <x:v>1</x:v>
      </x:c>
      <x:c r="C20" s="34" t="n">
        <x:f>'МАИ суждения'!H15</x:f>
        <x:v>0.5</x:v>
      </x:c>
      <x:c r="D20" s="34" t="n">
        <x:f>'МАИ суждения'!H16</x:f>
        <x:v>1.5874010519681994</x:v>
      </x:c>
      <x:c r="E20" s="34" t="n">
        <x:f>'МАИ суждения'!H17</x:f>
        <x:v>0.6299605249474366</x:v>
      </x:c>
      <x:c r="F20" s="34" t="n">
        <x:f>(PRODUCT(B20:E20))^(1/4)</x:f>
        <x:v>0.8408964152537145</x:v>
      </x:c>
      <x:c r="G20" s="34" t="n">
        <x:f>F20/SUM($F$20:$F$23)</x:f>
        <x:v>0.1900126314427855</x:v>
      </x:c>
      <x:c r="H20" s="34" t="n">
        <x:f>(B20*$G$20+C20*$G$21+D20*$G$22+E20*$G$23)/G20</x:f>
        <x:v>4.023545021816158</x:v>
      </x:c>
      <x:c r="I20" s="34"/>
      <x:c r="J20" s="6"/>
      <x:c r="K20" s="6"/>
      <x:c r="L20" s="6"/>
      <x:c r="M20" s="6"/>
      <x:c r="N20" s="6"/>
      <x:c r="O20" s="6"/>
      <x:c r="P20" s="6"/>
      <x:c r="Q20" s="6"/>
    </x:row>
    <x:row r="21" ht="19" customHeight="1">
      <x:c r="A21" s="6" t="str">
        <x:v>A2</x:v>
      </x:c>
      <x:c r="B21" s="34" t="n">
        <x:f>1/'МАИ суждения'!H15</x:f>
        <x:v>2</x:v>
      </x:c>
      <x:c r="C21" s="34" t="n">
        <x:f>1</x:f>
        <x:v>1</x:v>
      </x:c>
      <x:c r="D21" s="34" t="n">
        <x:f>'МАИ суждения'!H18</x:f>
        <x:v>3.3019272488946263</x:v>
      </x:c>
      <x:c r="E21" s="34" t="n">
        <x:f>'МАИ суждения'!H19</x:f>
        <x:v>2</x:v>
      </x:c>
      <x:c r="F21" s="34" t="n">
        <x:f>(PRODUCT(B21:E21))^(1/4)</x:f>
        <x:v>1.906368585993873</x:v>
      </x:c>
      <x:c r="G21" s="34" t="n">
        <x:f>F21/SUM($F$20:$F$23)</x:f>
        <x:v>0.4307713827216934</x:v>
      </x:c>
      <x:c r="H21" s="34" t="n">
        <x:f>(B21*$G$20+C21*$G$21+D21*$G$22+E21*$G$23)/G21</x:f>
        <x:v>4.022375042073387</x:v>
      </x:c>
      <x:c r="I21" s="34"/>
      <x:c r="J21" s="6"/>
      <x:c r="K21" s="6"/>
      <x:c r="L21" s="6"/>
      <x:c r="M21" s="6"/>
      <x:c r="N21" s="6"/>
      <x:c r="O21" s="6"/>
      <x:c r="P21" s="6"/>
      <x:c r="Q21" s="6"/>
    </x:row>
    <x:row r="22" ht="19" customHeight="1">
      <x:c r="A22" s="6" t="str">
        <x:v>A3</x:v>
      </x:c>
      <x:c r="B22" s="34" t="n">
        <x:f>1/'МАИ суждения'!H16</x:f>
        <x:v>0.6299605249474366</x:v>
      </x:c>
      <x:c r="C22" s="34" t="n">
        <x:f>1/'МАИ суждения'!H18</x:f>
        <x:v>0.30285343213869</x:v>
      </x:c>
      <x:c r="D22" s="34" t="n">
        <x:f>1</x:f>
        <x:v>1</x:v>
      </x:c>
      <x:c r="E22" s="34" t="n">
        <x:f>'МАИ суждения'!H20</x:f>
        <x:v>0.5</x:v>
      </x:c>
      <x:c r="F22" s="34" t="n">
        <x:f>(PRODUCT(B22:E22))^(1/4)</x:f>
        <x:v>0.5557493457158239</x:v>
      </x:c>
      <x:c r="G22" s="34" t="n">
        <x:f>F22/SUM($F$20:$F$23)</x:f>
        <x:v>0.12557955258996872</x:v>
      </x:c>
      <x:c r="H22" s="34" t="n">
        <x:f>(B22*$G$20+C22*$G$21+D22*$G$22+E22*$G$23)/G22</x:f>
        <x:v>4.001915977741938</x:v>
      </x:c>
      <x:c r="I22" s="34"/>
      <x:c r="J22" s="6"/>
      <x:c r="K22" s="6"/>
      <x:c r="L22" s="6"/>
      <x:c r="M22" s="6"/>
      <x:c r="N22" s="6"/>
      <x:c r="O22" s="6"/>
      <x:c r="P22" s="6"/>
      <x:c r="Q22" s="6"/>
    </x:row>
    <x:row r="23" ht="19" customHeight="1">
      <x:c r="A23" s="6" t="str">
        <x:v>A4</x:v>
      </x:c>
      <x:c r="B23" s="34" t="n">
        <x:f>1/'МАИ суждения'!H17</x:f>
        <x:v>1.5874010519681994</x:v>
      </x:c>
      <x:c r="C23" s="34" t="n">
        <x:f>1/'МАИ суждения'!H19</x:f>
        <x:v>0.5</x:v>
      </x:c>
      <x:c r="D23" s="34" t="n">
        <x:f>1/'МАИ суждения'!H20</x:f>
        <x:v>2</x:v>
      </x:c>
      <x:c r="E23" s="34" t="n">
        <x:f>1</x:f>
        <x:v>1</x:v>
      </x:c>
      <x:c r="F23" s="34" t="n">
        <x:f>(PRODUCT(B23:E23))^(1/4)</x:f>
        <x:v>1.122462048309373</x:v>
      </x:c>
      <x:c r="G23" s="34" t="n">
        <x:f>F23/SUM($F$20:$F$23)</x:f>
        <x:v>0.2536364332455523</x:v>
      </x:c>
      <x:c r="H23" s="34" t="n">
        <x:f>(B23*$G$20+C23*$G$21+D23*$G$22+E23*$G$23)/G23</x:f>
        <x:v>4.028630539196317</x:v>
      </x:c>
      <x:c r="I23" s="34"/>
      <x:c r="J23" s="6"/>
      <x:c r="K23" s="6"/>
      <x:c r="L23" s="6"/>
      <x:c r="M23" s="6"/>
      <x:c r="N23" s="6"/>
      <x:c r="O23" s="6"/>
      <x:c r="P23" s="6"/>
      <x:c r="Q23" s="6"/>
    </x:row>
    <x:row r="24" ht="19" customHeight="1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  <x:c r="Q24" s="6"/>
    </x:row>
    <x:row r="25" ht="19" customHeight="1">
      <x:c r="A25" s="32" t="str">
        <x:v>λmax</x:v>
      </x:c>
      <x:c r="B25" s="38" t="n">
        <x:f>AVERAGE(H20:H23)</x:f>
        <x:v>4.0191166452069504</x:v>
      </x:c>
      <x:c r="C25" s="32" t="str">
        <x:v>CI</x:v>
      </x:c>
      <x:c r="D25" s="38" t="n">
        <x:f>(B25-4)/(4-1)</x:f>
        <x:v>0.006372215068983482</x:v>
      </x:c>
      <x:c r="E25" s="32" t="str">
        <x:v>CR</x:v>
      </x:c>
      <x:c r="F25" s="38" t="n">
        <x:f>D25/0.9</x:f>
        <x:v>0.007080238965537201</x:v>
      </x:c>
      <x:c r="G25" s="32" t="str">
        <x:v>Статус</x:v>
      </x:c>
      <x:c r="H25" s="32" t="str">
        <x:f>IF(F25&lt;=0.1,"OK","Пересмотреть")</x:f>
        <x:v>OK</x:v>
      </x:c>
      <x:c r="I25" s="6"/>
      <x:c r="J25" s="6"/>
      <x:c r="K25" s="6"/>
      <x:c r="L25" s="6"/>
      <x:c r="M25" s="6"/>
      <x:c r="N25" s="6"/>
      <x:c r="O25" s="6"/>
      <x:c r="P25" s="6"/>
      <x:c r="Q25" s="6"/>
    </x:row>
    <x:row r="26" ht="19" customHeight="1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  <x:c r="Q26" s="6"/>
    </x:row>
    <x:row r="27" ht="19" customHeight="1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  <x:c r="Q27" s="6"/>
    </x:row>
    <x:row r="28" ht="19" customHeight="1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  <x:c r="Q28" s="6"/>
    </x:row>
    <x:row r="29" ht="19" customHeight="1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  <x:c r="Q29" s="6"/>
    </x:row>
    <x:row r="30" ht="19" customHeight="1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  <x:c r="Q30" s="6"/>
    </x:row>
    <x:row r="31" ht="26" customHeight="1">
      <x:c r="A31" s="25" t="str">
        <x:v>Альтернативы по K2</x:v>
      </x:c>
      <x:c r="B31" s="25"/>
      <x:c r="C31" s="25"/>
      <x:c r="D31" s="25"/>
      <x:c r="E31" s="25"/>
      <x:c r="F31" s="25"/>
      <x:c r="G31" s="25"/>
      <x:c r="H31" s="25"/>
      <x:c r="I31" s="25"/>
      <x:c r="J31" s="6"/>
      <x:c r="K31" s="6"/>
      <x:c r="L31" s="6"/>
      <x:c r="M31" s="6"/>
      <x:c r="N31" s="6"/>
      <x:c r="O31" s="6"/>
      <x:c r="P31" s="6"/>
      <x:c r="Q31" s="6"/>
    </x:row>
    <x:row r="32" ht="30" customHeight="1">
      <x:c r="A32" s="17" t="str">
        <x:v>Объект</x:v>
      </x:c>
      <x:c r="B32" s="17" t="str">
        <x:v>A1</x:v>
      </x:c>
      <x:c r="C32" s="17" t="str">
        <x:v>A2</x:v>
      </x:c>
      <x:c r="D32" s="17" t="str">
        <x:v>A3</x:v>
      </x:c>
      <x:c r="E32" s="17" t="str">
        <x:v>A4</x:v>
      </x:c>
      <x:c r="F32" s="17" t="str">
        <x:v>Геом.</x:v>
      </x:c>
      <x:c r="G32" s="17" t="str">
        <x:v>Приоритет</x:v>
      </x:c>
      <x:c r="H32" s="17" t="str">
        <x:v>(Aw)/w</x:v>
      </x:c>
      <x:c r="I32" s="6"/>
      <x:c r="J32" s="6"/>
      <x:c r="K32" s="6"/>
      <x:c r="L32" s="6"/>
      <x:c r="M32" s="6"/>
      <x:c r="N32" s="6"/>
      <x:c r="O32" s="6"/>
      <x:c r="P32" s="6"/>
      <x:c r="Q32" s="6"/>
    </x:row>
    <x:row r="33" ht="19" customHeight="1">
      <x:c r="A33" s="6" t="str">
        <x:v>A1</x:v>
      </x:c>
      <x:c r="B33" s="34" t="n">
        <x:f>1</x:f>
        <x:v>1</x:v>
      </x:c>
      <x:c r="C33" s="34" t="n">
        <x:f>'МАИ суждения'!H21</x:f>
        <x:v>2</x:v>
      </x:c>
      <x:c r="D33" s="34" t="n">
        <x:f>'МАИ суждения'!H22</x:f>
        <x:v>1</x:v>
      </x:c>
      <x:c r="E33" s="34" t="n">
        <x:f>'МАИ суждения'!H23</x:f>
        <x:v>3.634241185664279</x:v>
      </x:c>
      <x:c r="F33" s="34" t="n">
        <x:f>(PRODUCT(B33:E33))^(1/4)</x:f>
        <x:v>1.6419538084838303</x:v>
      </x:c>
      <x:c r="G33" s="34" t="n">
        <x:f>F33/SUM($F$33:$F$36)</x:f>
        <x:v>0.3561812356238691</x:v>
      </x:c>
      <x:c r="H33" s="34" t="n">
        <x:f>(B33*$G$33+C33*$G$34+D33*$G$35+E33*$G$36)/G33</x:f>
        <x:v>4.005241692650352</x:v>
      </x:c>
      <x:c r="I33" s="34"/>
      <x:c r="J33" s="6"/>
      <x:c r="K33" s="6"/>
      <x:c r="L33" s="6"/>
      <x:c r="M33" s="6"/>
      <x:c r="N33" s="6"/>
      <x:c r="O33" s="6"/>
      <x:c r="P33" s="6"/>
      <x:c r="Q33" s="6"/>
    </x:row>
    <x:row r="34" ht="19" customHeight="1">
      <x:c r="A34" s="6" t="str">
        <x:v>A2</x:v>
      </x:c>
      <x:c r="B34" s="34" t="n">
        <x:f>1/'МАИ суждения'!H21</x:f>
        <x:v>0.5</x:v>
      </x:c>
      <x:c r="C34" s="34" t="n">
        <x:f>1</x:f>
        <x:v>1</x:v>
      </x:c>
      <x:c r="D34" s="34" t="n">
        <x:f>'МАИ суждения'!H24</x:f>
        <x:v>0.5</x:v>
      </x:c>
      <x:c r="E34" s="34" t="n">
        <x:f>'МАИ суждения'!H25</x:f>
        <x:v>2.2894284851066637</x:v>
      </x:c>
      <x:c r="F34" s="34" t="n">
        <x:f>(PRODUCT(B34:E34))^(1/4)</x:f>
        <x:v>0.8697947313656543</x:v>
      </x:c>
      <x:c r="G34" s="34" t="n">
        <x:f>F34/SUM($F$33:$F$36)</x:f>
        <x:v>0.1886804370233908</x:v>
      </x:c>
      <x:c r="H34" s="34" t="n">
        <x:f>(B34*$G$33+C34*$G$34+D34*$G$35+E34*$G$36)/G34</x:f>
        <x:v>4.006522709544004</x:v>
      </x:c>
      <x:c r="I34" s="34"/>
      <x:c r="J34" s="6"/>
      <x:c r="K34" s="6"/>
      <x:c r="L34" s="6"/>
      <x:c r="M34" s="6"/>
      <x:c r="N34" s="6"/>
      <x:c r="O34" s="6"/>
      <x:c r="P34" s="6"/>
      <x:c r="Q34" s="6"/>
    </x:row>
    <x:row r="35" ht="19" customHeight="1">
      <x:c r="A35" s="6" t="str">
        <x:v>A3</x:v>
      </x:c>
      <x:c r="B35" s="34" t="n">
        <x:f>1/'МАИ суждения'!H22</x:f>
        <x:v>1</x:v>
      </x:c>
      <x:c r="C35" s="34" t="n">
        <x:f>1/'МАИ суждения'!H24</x:f>
        <x:v>2</x:v>
      </x:c>
      <x:c r="D35" s="34" t="n">
        <x:f>1</x:f>
        <x:v>1</x:v>
      </x:c>
      <x:c r="E35" s="34" t="n">
        <x:f>'МАИ суждения'!H26</x:f>
        <x:v>3.9999999999999996</x:v>
      </x:c>
      <x:c r="F35" s="34" t="n">
        <x:f>(PRODUCT(B35:E35))^(1/4)</x:f>
        <x:v>1.681792830507429</x:v>
      </x:c>
      <x:c r="G35" s="34" t="n">
        <x:f>F35/SUM($F$33:$F$36)</x:f>
        <x:v>0.3648233253203599</x:v>
      </x:c>
      <x:c r="H35" s="34" t="n">
        <x:f>(B35*$G$33+C35*$G$34+D35*$G$35+E35*$G$36)/G35</x:f>
        <x:v>4.000910418320429</x:v>
      </x:c>
      <x:c r="I35" s="34"/>
      <x:c r="J35" s="6"/>
      <x:c r="K35" s="6"/>
      <x:c r="L35" s="6"/>
      <x:c r="M35" s="6"/>
      <x:c r="N35" s="6"/>
      <x:c r="O35" s="6"/>
      <x:c r="P35" s="6"/>
      <x:c r="Q35" s="6"/>
    </x:row>
    <x:row r="36" ht="19" customHeight="1">
      <x:c r="A36" s="6" t="str">
        <x:v>A4</x:v>
      </x:c>
      <x:c r="B36" s="34" t="n">
        <x:f>1/'МАИ суждения'!H23</x:f>
        <x:v>0.27516060407455223</x:v>
      </x:c>
      <x:c r="C36" s="34" t="n">
        <x:f>1/'МАИ суждения'!H25</x:f>
        <x:v>0.43679023236814946</x:v>
      </x:c>
      <x:c r="D36" s="34" t="n">
        <x:f>1/'МАИ суждения'!H26</x:f>
        <x:v>0.25000000000000006</x:v>
      </x:c>
      <x:c r="E36" s="34" t="n">
        <x:f>1</x:f>
        <x:v>1</x:v>
      </x:c>
      <x:c r="F36" s="34" t="n">
        <x:f>(PRODUCT(B36:E36))^(1/4)</x:f>
        <x:v>0.4163415888278022</x:v>
      </x:c>
      <x:c r="G36" s="34" t="n">
        <x:f>F36/SUM($F$33:$F$36)</x:f>
        <x:v>0.09031500203238013</x:v>
      </x:c>
      <x:c r="H36" s="34" t="n">
        <x:f>(B36*$G$33+C36*$G$34+D36*$G$35+E36*$G$36)/G36</x:f>
        <x:v>4.007547374219848</x:v>
      </x:c>
      <x:c r="I36" s="34"/>
      <x:c r="J36" s="6"/>
      <x:c r="K36" s="6"/>
      <x:c r="L36" s="6"/>
      <x:c r="M36" s="6"/>
      <x:c r="N36" s="6"/>
      <x:c r="O36" s="6"/>
      <x:c r="P36" s="6"/>
      <x:c r="Q36" s="6"/>
    </x:row>
    <x:row r="37" ht="19" customHeight="1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  <x:c r="Q37" s="6"/>
    </x:row>
    <x:row r="38" ht="19" customHeight="1">
      <x:c r="A38" s="32" t="str">
        <x:v>λmax</x:v>
      </x:c>
      <x:c r="B38" s="38" t="n">
        <x:f>AVERAGE(H33:H36)</x:f>
        <x:v>4.005055548683658</x:v>
      </x:c>
      <x:c r="C38" s="32" t="str">
        <x:v>CI</x:v>
      </x:c>
      <x:c r="D38" s="38" t="n">
        <x:f>(B38-4)/(4-1)</x:f>
        <x:v>0.0016851828945526985</x:v>
      </x:c>
      <x:c r="E38" s="32" t="str">
        <x:v>CR</x:v>
      </x:c>
      <x:c r="F38" s="38" t="n">
        <x:f>D38/0.9</x:f>
        <x:v>0.0018724254383918873</x:v>
      </x:c>
      <x:c r="G38" s="32" t="str">
        <x:v>Статус</x:v>
      </x:c>
      <x:c r="H38" s="32" t="str">
        <x:f>IF(F38&lt;=0.1,"OK","Пересмотреть")</x:f>
        <x:v>OK</x:v>
      </x:c>
      <x:c r="I38" s="6"/>
      <x:c r="J38" s="6"/>
      <x:c r="K38" s="6"/>
      <x:c r="L38" s="6"/>
      <x:c r="M38" s="6"/>
      <x:c r="N38" s="6"/>
      <x:c r="O38" s="6"/>
      <x:c r="P38" s="6"/>
      <x:c r="Q38" s="6"/>
    </x:row>
    <x:row r="39" ht="19" customHeight="1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  <x:c r="Q39" s="6"/>
    </x:row>
    <x:row r="40" ht="19" customHeight="1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  <x:c r="Q40" s="6"/>
    </x:row>
    <x:row r="41" ht="19" customHeight="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  <x:c r="Q41" s="6"/>
    </x:row>
    <x:row r="42" ht="19" customHeight="1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  <x:c r="Q42" s="6"/>
    </x:row>
    <x:row r="43" ht="19" customHeight="1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  <x:c r="Q43" s="6"/>
    </x:row>
    <x:row r="44" ht="26" customHeight="1">
      <x:c r="A44" s="25" t="str">
        <x:v>Альтернативы по K3</x:v>
      </x:c>
      <x:c r="B44" s="25"/>
      <x:c r="C44" s="25"/>
      <x:c r="D44" s="25"/>
      <x:c r="E44" s="25"/>
      <x:c r="F44" s="25"/>
      <x:c r="G44" s="25"/>
      <x:c r="H44" s="25"/>
      <x:c r="I44" s="25"/>
      <x:c r="J44" s="6"/>
      <x:c r="K44" s="6"/>
      <x:c r="L44" s="6"/>
      <x:c r="M44" s="6"/>
      <x:c r="N44" s="6"/>
      <x:c r="O44" s="6"/>
      <x:c r="P44" s="6"/>
      <x:c r="Q44" s="6"/>
    </x:row>
    <x:row r="45" ht="30" customHeight="1">
      <x:c r="A45" s="17" t="str">
        <x:v>Объект</x:v>
      </x:c>
      <x:c r="B45" s="17" t="str">
        <x:v>A1</x:v>
      </x:c>
      <x:c r="C45" s="17" t="str">
        <x:v>A2</x:v>
      </x:c>
      <x:c r="D45" s="17" t="str">
        <x:v>A3</x:v>
      </x:c>
      <x:c r="E45" s="17" t="str">
        <x:v>A4</x:v>
      </x:c>
      <x:c r="F45" s="17" t="str">
        <x:v>Геом.</x:v>
      </x:c>
      <x:c r="G45" s="17" t="str">
        <x:v>Приоритет</x:v>
      </x:c>
      <x:c r="H45" s="17" t="str">
        <x:v>(Aw)/w</x:v>
      </x:c>
      <x:c r="I45" s="6"/>
      <x:c r="J45" s="6"/>
      <x:c r="K45" s="6"/>
      <x:c r="L45" s="6"/>
      <x:c r="M45" s="6"/>
      <x:c r="N45" s="6"/>
      <x:c r="O45" s="6"/>
      <x:c r="P45" s="6"/>
      <x:c r="Q45" s="6"/>
    </x:row>
    <x:row r="46" ht="19" customHeight="1">
      <x:c r="A46" s="6" t="str">
        <x:v>A1</x:v>
      </x:c>
      <x:c r="B46" s="34" t="n">
        <x:f>1</x:f>
        <x:v>1</x:v>
      </x:c>
      <x:c r="C46" s="34" t="n">
        <x:f>'МАИ суждения'!H27</x:f>
        <x:v>1</x:v>
      </x:c>
      <x:c r="D46" s="34" t="n">
        <x:f>'МАИ суждения'!H28</x:f>
        <x:v>2</x:v>
      </x:c>
      <x:c r="E46" s="34" t="n">
        <x:f>'МАИ суждения'!H29</x:f>
        <x:v>3.634241185664279</x:v>
      </x:c>
      <x:c r="F46" s="34" t="n">
        <x:f>(PRODUCT(B46:E46))^(1/4)</x:f>
        <x:v>1.6419538084838303</x:v>
      </x:c>
      <x:c r="G46" s="34" t="n">
        <x:f>F46/SUM($F$46:$F$49)</x:f>
        <x:v>0.35500544039742155</x:v>
      </x:c>
      <x:c r="H46" s="34" t="n">
        <x:f>(B46*$G$46+C46*$G$47+D46*$G$48+E46*$G$49)/G46</x:f>
        <x:v>4.002880146767351</x:v>
      </x:c>
      <x:c r="I46" s="34"/>
      <x:c r="J46" s="6"/>
      <x:c r="K46" s="6"/>
      <x:c r="L46" s="6"/>
      <x:c r="M46" s="6"/>
      <x:c r="N46" s="6"/>
      <x:c r="O46" s="6"/>
      <x:c r="P46" s="6"/>
      <x:c r="Q46" s="6"/>
    </x:row>
    <x:row r="47" ht="19" customHeight="1">
      <x:c r="A47" s="6" t="str">
        <x:v>A2</x:v>
      </x:c>
      <x:c r="B47" s="34" t="n">
        <x:f>1/'МАИ суждения'!H27</x:f>
        <x:v>1</x:v>
      </x:c>
      <x:c r="C47" s="34" t="n">
        <x:f>1</x:f>
        <x:v>1</x:v>
      </x:c>
      <x:c r="D47" s="34" t="n">
        <x:f>'МАИ суждения'!H30</x:f>
        <x:v>2.2894284851066637</x:v>
      </x:c>
      <x:c r="E47" s="34" t="n">
        <x:f>'МАИ суждения'!H31</x:f>
        <x:v>3.9999999999999996</x:v>
      </x:c>
      <x:c r="F47" s="34" t="n">
        <x:f>(PRODUCT(B47:E47))^(1/4)</x:f>
        <x:v>1.7395894627313087</x:v>
      </x:c>
      <x:c r="G47" s="34" t="n">
        <x:f>F47/SUM($F$46:$F$49)</x:f>
        <x:v>0.3761151623978366</x:v>
      </x:c>
      <x:c r="H47" s="34" t="n">
        <x:f>(B47*$G$46+C47*$G$47+D47*$G$48+E47*$G$49)/G47</x:f>
        <x:v>4.004020266026476</x:v>
      </x:c>
      <x:c r="I47" s="34"/>
      <x:c r="J47" s="6"/>
      <x:c r="K47" s="6"/>
      <x:c r="L47" s="6"/>
      <x:c r="M47" s="6"/>
      <x:c r="N47" s="6"/>
      <x:c r="O47" s="6"/>
      <x:c r="P47" s="6"/>
      <x:c r="Q47" s="6"/>
    </x:row>
    <x:row r="48" ht="19" customHeight="1">
      <x:c r="A48" s="6" t="str">
        <x:v>A3</x:v>
      </x:c>
      <x:c r="B48" s="34" t="n">
        <x:f>1/'МАИ суждения'!H28</x:f>
        <x:v>0.5</x:v>
      </x:c>
      <x:c r="C48" s="34" t="n">
        <x:f>1/'МАИ суждения'!H30</x:f>
        <x:v>0.43679023236814946</x:v>
      </x:c>
      <x:c r="D48" s="34" t="n">
        <x:f>1</x:f>
        <x:v>1</x:v>
      </x:c>
      <x:c r="E48" s="34" t="n">
        <x:f>'МАИ суждения'!H32</x:f>
        <x:v>2</x:v>
      </x:c>
      <x:c r="F48" s="34" t="n">
        <x:f>(PRODUCT(B48:E48))^(1/4)</x:f>
        <x:v>0.8129582253002701</x:v>
      </x:c>
      <x:c r="G48" s="34" t="n">
        <x:f>F48/SUM($F$46:$F$49)</x:f>
        <x:v>0.1757690084253492</x:v>
      </x:c>
      <x:c r="H48" s="34" t="n">
        <x:f>(B48*$G$46+C48*$G$47+D48*$G$48+E48*$G$49)/G48</x:f>
        <x:v>4.003981940096574</x:v>
      </x:c>
      <x:c r="I48" s="34"/>
      <x:c r="J48" s="6"/>
      <x:c r="K48" s="6"/>
      <x:c r="L48" s="6"/>
      <x:c r="M48" s="6"/>
      <x:c r="N48" s="6"/>
      <x:c r="O48" s="6"/>
      <x:c r="P48" s="6"/>
      <x:c r="Q48" s="6"/>
    </x:row>
    <x:row r="49" ht="19" customHeight="1">
      <x:c r="A49" s="6" t="str">
        <x:v>A4</x:v>
      </x:c>
      <x:c r="B49" s="34" t="n">
        <x:f>1/'МАИ суждения'!H29</x:f>
        <x:v>0.27516060407455223</x:v>
      </x:c>
      <x:c r="C49" s="34" t="n">
        <x:f>1/'МАИ суждения'!H31</x:f>
        <x:v>0.25000000000000006</x:v>
      </x:c>
      <x:c r="D49" s="34" t="n">
        <x:f>1/'МАИ суждения'!H32</x:f>
        <x:v>0.5</x:v>
      </x:c>
      <x:c r="E49" s="34" t="n">
        <x:f>1</x:f>
        <x:v>1</x:v>
      </x:c>
      <x:c r="F49" s="34" t="n">
        <x:f>(PRODUCT(B49:E49))^(1/4)</x:f>
        <x:v>0.4306496184807327</x:v>
      </x:c>
      <x:c r="G49" s="34" t="n">
        <x:f>F49/SUM($F$46:$F$49)</x:f>
        <x:v>0.09311038877939277</x:v>
      </x:c>
      <x:c r="H49" s="34" t="n">
        <x:f>(B49*$G$46+C49*$G$47+D49*$G$48+E49*$G$49)/G49</x:f>
        <x:v>4.002852956656553</x:v>
      </x:c>
      <x:c r="I49" s="34"/>
      <x:c r="J49" s="6"/>
      <x:c r="K49" s="6"/>
      <x:c r="L49" s="6"/>
      <x:c r="M49" s="6"/>
      <x:c r="N49" s="6"/>
      <x:c r="O49" s="6"/>
      <x:c r="P49" s="6"/>
      <x:c r="Q49" s="6"/>
    </x:row>
    <x:row r="50" ht="19" customHeight="1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  <x:c r="Q50" s="6"/>
    </x:row>
    <x:row r="51" ht="19" customHeight="1">
      <x:c r="A51" s="32" t="str">
        <x:v>λmax</x:v>
      </x:c>
      <x:c r="B51" s="38" t="n">
        <x:f>AVERAGE(H46:H49)</x:f>
        <x:v>4.003433827386739</x:v>
      </x:c>
      <x:c r="C51" s="32" t="str">
        <x:v>CI</x:v>
      </x:c>
      <x:c r="D51" s="38" t="n">
        <x:f>(B51-4)/(4-1)</x:f>
        <x:v>0.001144609128912973</x:v>
      </x:c>
      <x:c r="E51" s="32" t="str">
        <x:v>CR</x:v>
      </x:c>
      <x:c r="F51" s="38" t="n">
        <x:f>D51/0.9</x:f>
        <x:v>0.0012717879210144144</x:v>
      </x:c>
      <x:c r="G51" s="32" t="str">
        <x:v>Статус</x:v>
      </x:c>
      <x:c r="H51" s="32" t="str">
        <x:f>IF(F51&lt;=0.1,"OK","Пересмотреть")</x:f>
        <x:v>OK</x:v>
      </x:c>
      <x:c r="I51" s="6"/>
      <x:c r="J51" s="6"/>
      <x:c r="K51" s="6"/>
      <x:c r="L51" s="6"/>
      <x:c r="M51" s="6"/>
      <x:c r="N51" s="6"/>
      <x:c r="O51" s="6"/>
      <x:c r="P51" s="6"/>
      <x:c r="Q51" s="6"/>
    </x:row>
    <x:row r="52" ht="19" customHeight="1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  <x:c r="Q52" s="6"/>
    </x:row>
    <x:row r="53" ht="19" customHeight="1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  <x:c r="Q53" s="6"/>
    </x:row>
    <x:row r="54" ht="19" customHeight="1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  <x:c r="Q54" s="6"/>
    </x:row>
    <x:row r="55" ht="19" customHeight="1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  <x:c r="Q55" s="6"/>
    </x:row>
    <x:row r="56" ht="19" customHeight="1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  <x:c r="Q56" s="6"/>
    </x:row>
    <x:row r="57" ht="26" customHeight="1">
      <x:c r="A57" s="25" t="str">
        <x:v>Альтернативы по K4</x:v>
      </x:c>
      <x:c r="B57" s="25"/>
      <x:c r="C57" s="25"/>
      <x:c r="D57" s="25"/>
      <x:c r="E57" s="25"/>
      <x:c r="F57" s="25"/>
      <x:c r="G57" s="25"/>
      <x:c r="H57" s="25"/>
      <x:c r="I57" s="25"/>
      <x:c r="J57" s="6"/>
      <x:c r="K57" s="6"/>
      <x:c r="L57" s="6"/>
      <x:c r="M57" s="6"/>
      <x:c r="N57" s="6"/>
      <x:c r="O57" s="6"/>
      <x:c r="P57" s="6"/>
      <x:c r="Q57" s="6"/>
    </x:row>
    <x:row r="58" ht="30" customHeight="1">
      <x:c r="A58" s="17" t="str">
        <x:v>Объект</x:v>
      </x:c>
      <x:c r="B58" s="17" t="str">
        <x:v>A1</x:v>
      </x:c>
      <x:c r="C58" s="17" t="str">
        <x:v>A2</x:v>
      </x:c>
      <x:c r="D58" s="17" t="str">
        <x:v>A3</x:v>
      </x:c>
      <x:c r="E58" s="17" t="str">
        <x:v>A4</x:v>
      </x:c>
      <x:c r="F58" s="17" t="str">
        <x:v>Геом.</x:v>
      </x:c>
      <x:c r="G58" s="17" t="str">
        <x:v>Приоритет</x:v>
      </x:c>
      <x:c r="H58" s="17" t="str">
        <x:v>(Aw)/w</x:v>
      </x:c>
      <x:c r="I58" s="6"/>
      <x:c r="J58" s="6"/>
      <x:c r="K58" s="6"/>
      <x:c r="L58" s="6"/>
      <x:c r="M58" s="6"/>
      <x:c r="N58" s="6"/>
      <x:c r="O58" s="6"/>
      <x:c r="P58" s="6"/>
      <x:c r="Q58" s="6"/>
    </x:row>
    <x:row r="59" ht="19" customHeight="1">
      <x:c r="A59" s="6" t="str">
        <x:v>A1</x:v>
      </x:c>
      <x:c r="B59" s="34" t="n">
        <x:f>1</x:f>
        <x:v>1</x:v>
      </x:c>
      <x:c r="C59" s="34" t="n">
        <x:f>'МАИ суждения'!H33</x:f>
        <x:v>1</x:v>
      </x:c>
      <x:c r="D59" s="34" t="n">
        <x:f>'МАИ суждения'!H34</x:f>
        <x:v>2</x:v>
      </x:c>
      <x:c r="E59" s="34" t="n">
        <x:f>'МАИ суждения'!H35</x:f>
        <x:v>3.3019272488946263</x:v>
      </x:c>
      <x:c r="F59" s="34" t="n">
        <x:f>(PRODUCT(B59:E59))^(1/4)</x:f>
        <x:v>1.6030585101145405</x:v>
      </x:c>
      <x:c r="G59" s="34" t="n">
        <x:f>F59/SUM($F$59:$F$62)</x:f>
        <x:v>0.3554629561845694</x:v>
      </x:c>
      <x:c r="H59" s="34" t="n">
        <x:f>(B59*$G$59+C59*$G$60+D59*$G$61+E59*$G$62)/G59</x:f>
        <x:v>4.002299356418585</x:v>
      </x:c>
      <x:c r="I59" s="34"/>
      <x:c r="J59" s="6"/>
      <x:c r="K59" s="6"/>
      <x:c r="L59" s="6"/>
      <x:c r="M59" s="6"/>
      <x:c r="N59" s="6"/>
      <x:c r="O59" s="6"/>
      <x:c r="P59" s="6"/>
      <x:c r="Q59" s="6"/>
    </x:row>
    <x:row r="60" ht="19" customHeight="1">
      <x:c r="A60" s="6" t="str">
        <x:v>A2</x:v>
      </x:c>
      <x:c r="B60" s="34" t="n">
        <x:f>1/'МАИ суждения'!H33</x:f>
        <x:v>1</x:v>
      </x:c>
      <x:c r="C60" s="34" t="n">
        <x:f>1</x:f>
        <x:v>1</x:v>
      </x:c>
      <x:c r="D60" s="34" t="n">
        <x:f>'МАИ суждения'!H36</x:f>
        <x:v>2</x:v>
      </x:c>
      <x:c r="E60" s="34" t="n">
        <x:f>'МАИ суждения'!H37</x:f>
        <x:v>3.3019272488946263</x:v>
      </x:c>
      <x:c r="F60" s="34" t="n">
        <x:f>(PRODUCT(B60:E60))^(1/4)</x:f>
        <x:v>1.6030585101145405</x:v>
      </x:c>
      <x:c r="G60" s="34" t="n">
        <x:f>F60/SUM($F$59:$F$62)</x:f>
        <x:v>0.3554629561845694</x:v>
      </x:c>
      <x:c r="H60" s="34" t="n">
        <x:f>(B60*$G$59+C60*$G$60+D60*$G$61+E60*$G$62)/G60</x:f>
        <x:v>4.002299356418585</x:v>
      </x:c>
      <x:c r="I60" s="34"/>
      <x:c r="J60" s="6"/>
      <x:c r="K60" s="6"/>
      <x:c r="L60" s="6"/>
      <x:c r="M60" s="6"/>
      <x:c r="N60" s="6"/>
      <x:c r="O60" s="6"/>
      <x:c r="P60" s="6"/>
      <x:c r="Q60" s="6"/>
    </x:row>
    <x:row r="61" ht="19" customHeight="1">
      <x:c r="A61" s="6" t="str">
        <x:v>A3</x:v>
      </x:c>
      <x:c r="B61" s="34" t="n">
        <x:f>1/'МАИ суждения'!H34</x:f>
        <x:v>0.5</x:v>
      </x:c>
      <x:c r="C61" s="34" t="n">
        <x:f>1/'МАИ суждения'!H36</x:f>
        <x:v>0.5</x:v>
      </x:c>
      <x:c r="D61" s="34" t="n">
        <x:f>1</x:f>
        <x:v>1</x:v>
      </x:c>
      <x:c r="E61" s="34" t="n">
        <x:f>'МАИ суждения'!H38</x:f>
        <x:v>2</x:v>
      </x:c>
      <x:c r="F61" s="34" t="n">
        <x:f>(PRODUCT(B61:E61))^(1/4)</x:f>
        <x:v>0.8408964152537145</x:v>
      </x:c>
      <x:c r="G61" s="34" t="n">
        <x:f>F61/SUM($F$59:$F$62)</x:f>
        <x:v>0.18646077091081056</x:v>
      </x:c>
      <x:c r="H61" s="34" t="n">
        <x:f>(B61*$G$59+C61*$G$60+D61*$G$61+E61*$G$62)/G61</x:f>
        <x:v>4.0070110022920815</x:v>
      </x:c>
      <x:c r="I61" s="34"/>
      <x:c r="J61" s="6"/>
      <x:c r="K61" s="6"/>
      <x:c r="L61" s="6"/>
      <x:c r="M61" s="6"/>
      <x:c r="N61" s="6"/>
      <x:c r="O61" s="6"/>
      <x:c r="P61" s="6"/>
      <x:c r="Q61" s="6"/>
    </x:row>
    <x:row r="62" ht="19" customHeight="1">
      <x:c r="A62" s="6" t="str">
        <x:v>A4</x:v>
      </x:c>
      <x:c r="B62" s="34" t="n">
        <x:f>1/'МАИ суждения'!H35</x:f>
        <x:v>0.30285343213869</x:v>
      </x:c>
      <x:c r="C62" s="34" t="n">
        <x:f>1/'МАИ суждения'!H37</x:f>
        <x:v>0.30285343213869</x:v>
      </x:c>
      <x:c r="D62" s="34" t="n">
        <x:f>1/'МАИ суждения'!H38</x:f>
        <x:v>0.5</x:v>
      </x:c>
      <x:c r="E62" s="34" t="n">
        <x:f>1</x:f>
        <x:v>1</x:v>
      </x:c>
      <x:c r="F62" s="34" t="n">
        <x:f>(PRODUCT(B62:E62))^(1/4)</x:f>
        <x:v>0.46276313117067525</x:v>
      </x:c>
      <x:c r="G62" s="34" t="n">
        <x:f>F62/SUM($F$59:$F$62)</x:f>
        <x:v>0.10261331672005067</x:v>
      </x:c>
      <x:c r="H62" s="34" t="n">
        <x:f>(B62*$G$59+C62*$G$60+D62*$G$61+E62*$G$62)/G62</x:f>
        <x:v>4.006790423259366</x:v>
      </x:c>
      <x:c r="I62" s="34"/>
      <x:c r="J62" s="6"/>
      <x:c r="K62" s="6"/>
      <x:c r="L62" s="6"/>
      <x:c r="M62" s="6"/>
      <x:c r="N62" s="6"/>
      <x:c r="O62" s="6"/>
      <x:c r="P62" s="6"/>
      <x:c r="Q62" s="6"/>
    </x:row>
    <x:row r="63" ht="19" customHeight="1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  <x:c r="Q63" s="6"/>
    </x:row>
    <x:row r="64" ht="19" customHeight="1">
      <x:c r="A64" s="32" t="str">
        <x:v>λmax</x:v>
      </x:c>
      <x:c r="B64" s="38" t="n">
        <x:f>AVERAGE(H59:H62)</x:f>
        <x:v>4.004600034597154</x:v>
      </x:c>
      <x:c r="C64" s="32" t="str">
        <x:v>CI</x:v>
      </x:c>
      <x:c r="D64" s="38" t="n">
        <x:f>(B64-4)/(4-1)</x:f>
        <x:v>0.0015333448657181374</x:v>
      </x:c>
      <x:c r="E64" s="32" t="str">
        <x:v>CR</x:v>
      </x:c>
      <x:c r="F64" s="38" t="n">
        <x:f>D64/0.9</x:f>
        <x:v>0.001703716517464597</x:v>
      </x:c>
      <x:c r="G64" s="32" t="str">
        <x:v>Статус</x:v>
      </x:c>
      <x:c r="H64" s="32" t="str">
        <x:f>IF(F64&lt;=0.1,"OK","Пересмотреть")</x:f>
        <x:v>OK</x:v>
      </x:c>
      <x:c r="I64" s="6"/>
      <x:c r="J64" s="6"/>
      <x:c r="K64" s="6"/>
      <x:c r="L64" s="6"/>
      <x:c r="M64" s="6"/>
      <x:c r="N64" s="6"/>
      <x:c r="O64" s="6"/>
      <x:c r="P64" s="6"/>
      <x:c r="Q64" s="6"/>
    </x:row>
    <x:row r="65" ht="19" customHeight="1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</x:row>
    <x:row r="66" ht="19" customHeight="1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  <x:c r="Q66" s="6"/>
    </x:row>
    <x:row r="67" ht="19" customHeight="1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  <x:c r="Q67" s="6"/>
    </x:row>
    <x:row r="68" ht="19" customHeight="1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  <x:c r="Q68" s="6"/>
    </x:row>
    <x:row r="69" ht="19" customHeight="1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  <x:c r="Q69" s="6"/>
    </x:row>
    <x:row r="70" ht="26" customHeight="1">
      <x:c r="A70" s="25" t="str">
        <x:v>Альтернативы по K5</x:v>
      </x:c>
      <x:c r="B70" s="25"/>
      <x:c r="C70" s="25"/>
      <x:c r="D70" s="25"/>
      <x:c r="E70" s="25"/>
      <x:c r="F70" s="25"/>
      <x:c r="G70" s="25"/>
      <x:c r="H70" s="25"/>
      <x:c r="I70" s="25"/>
      <x:c r="J70" s="6"/>
      <x:c r="K70" s="6"/>
      <x:c r="L70" s="6"/>
      <x:c r="M70" s="6"/>
      <x:c r="N70" s="6"/>
      <x:c r="O70" s="6"/>
      <x:c r="P70" s="6"/>
      <x:c r="Q70" s="6"/>
    </x:row>
    <x:row r="71" ht="30" customHeight="1">
      <x:c r="A71" s="17" t="str">
        <x:v>Объект</x:v>
      </x:c>
      <x:c r="B71" s="17" t="str">
        <x:v>A1</x:v>
      </x:c>
      <x:c r="C71" s="17" t="str">
        <x:v>A2</x:v>
      </x:c>
      <x:c r="D71" s="17" t="str">
        <x:v>A3</x:v>
      </x:c>
      <x:c r="E71" s="17" t="str">
        <x:v>A4</x:v>
      </x:c>
      <x:c r="F71" s="17" t="str">
        <x:v>Геом.</x:v>
      </x:c>
      <x:c r="G71" s="17" t="str">
        <x:v>Приоритет</x:v>
      </x:c>
      <x:c r="H71" s="17" t="str">
        <x:v>(Aw)/w</x:v>
      </x:c>
      <x:c r="I71" s="6"/>
      <x:c r="J71" s="6"/>
      <x:c r="K71" s="6"/>
      <x:c r="L71" s="6"/>
      <x:c r="M71" s="6"/>
      <x:c r="N71" s="6"/>
      <x:c r="O71" s="6"/>
      <x:c r="P71" s="6"/>
      <x:c r="Q71" s="6"/>
    </x:row>
    <x:row r="72" ht="19" customHeight="1">
      <x:c r="A72" s="6" t="str">
        <x:v>A1</x:v>
      </x:c>
      <x:c r="B72" s="34" t="n">
        <x:f>1</x:f>
        <x:v>1</x:v>
      </x:c>
      <x:c r="C72" s="34" t="n">
        <x:f>'МАИ суждения'!H39</x:f>
        <x:v>0.25</x:v>
      </x:c>
      <x:c r="D72" s="34" t="n">
        <x:f>'МАИ суждения'!H40</x:f>
        <x:v>0.43679023236814946</x:v>
      </x:c>
      <x:c r="E72" s="34" t="n">
        <x:f>'МАИ суждения'!H41</x:f>
        <x:v>0.23207944168063896</x:v>
      </x:c>
      <x:c r="F72" s="34" t="n">
        <x:f>(PRODUCT(B72:E72))^(1/4)</x:f>
        <x:v>0.39899035686128137</x:v>
      </x:c>
      <x:c r="G72" s="34" t="n">
        <x:f>F72/SUM($F$72:$F$75)</x:f>
        <x:v>0.08502117589595755</x:v>
      </x:c>
      <x:c r="H72" s="34" t="n">
        <x:f>(B72*$G$72+C72*$G$73+D72*$G$74+E72*$G$75)/G72</x:f>
        <x:v>4.007160574308606</x:v>
      </x:c>
      <x:c r="I72" s="34"/>
      <x:c r="J72" s="6"/>
      <x:c r="K72" s="6"/>
      <x:c r="L72" s="6"/>
      <x:c r="M72" s="6"/>
      <x:c r="N72" s="6"/>
      <x:c r="O72" s="6"/>
      <x:c r="P72" s="6"/>
      <x:c r="Q72" s="6"/>
    </x:row>
    <x:row r="73" ht="19" customHeight="1">
      <x:c r="A73" s="6" t="str">
        <x:v>A2</x:v>
      </x:c>
      <x:c r="B73" s="34" t="n">
        <x:f>1/'МАИ суждения'!H39</x:f>
        <x:v>4</x:v>
      </x:c>
      <x:c r="C73" s="34" t="n">
        <x:f>1</x:f>
        <x:v>1</x:v>
      </x:c>
      <x:c r="D73" s="34" t="n">
        <x:f>'МАИ суждения'!H42</x:f>
        <x:v>2.2894284851066637</x:v>
      </x:c>
      <x:c r="E73" s="34" t="n">
        <x:f>'МАИ суждения'!H43</x:f>
        <x:v>1</x:v>
      </x:c>
      <x:c r="F73" s="34" t="n">
        <x:f>(PRODUCT(B73:E73))^(1/4)</x:f>
        <x:v>1.7395894627313087</x:v>
      </x:c>
      <x:c r="G73" s="34" t="n">
        <x:f>F73/SUM($F$72:$F$75)</x:f>
        <x:v>0.3706905170869946</x:v>
      </x:c>
      <x:c r="H73" s="34" t="n">
        <x:f>(B73*$G$72+C73*$G$73+D73*$G$74+E73*$G$75)/G73</x:f>
        <x:v>4.009038966788818</x:v>
      </x:c>
      <x:c r="I73" s="34"/>
      <x:c r="J73" s="6"/>
      <x:c r="K73" s="6"/>
      <x:c r="L73" s="6"/>
      <x:c r="M73" s="6"/>
      <x:c r="N73" s="6"/>
      <x:c r="O73" s="6"/>
      <x:c r="P73" s="6"/>
      <x:c r="Q73" s="6"/>
    </x:row>
    <x:row r="74" ht="19" customHeight="1">
      <x:c r="A74" s="6" t="str">
        <x:v>A3</x:v>
      </x:c>
      <x:c r="B74" s="34" t="n">
        <x:f>1/'МАИ суждения'!H40</x:f>
        <x:v>2.2894284851066637</x:v>
      </x:c>
      <x:c r="C74" s="34" t="n">
        <x:f>1/'МАИ суждения'!H42</x:f>
        <x:v>0.43679023236814946</x:v>
      </x:c>
      <x:c r="D74" s="34" t="n">
        <x:f>1</x:f>
        <x:v>1</x:v>
      </x:c>
      <x:c r="E74" s="34" t="n">
        <x:f>'МАИ суждения'!H44</x:f>
        <x:v>0.5</x:v>
      </x:c>
      <x:c r="F74" s="34" t="n">
        <x:f>(PRODUCT(B74:E74))^(1/4)</x:f>
        <x:v>0.8408964152537145</x:v>
      </x:c>
      <x:c r="G74" s="34" t="n">
        <x:f>F74/SUM($F$72:$F$75)</x:f>
        <x:v>0.17918729313155515</x:v>
      </x:c>
      <x:c r="H74" s="34" t="n">
        <x:f>(B74*$G$72+C74*$G$73+D74*$G$74+E74*$G$75)/G74</x:f>
        <x:v>4.008664267144814</x:v>
      </x:c>
      <x:c r="I74" s="34"/>
      <x:c r="J74" s="6"/>
      <x:c r="K74" s="6"/>
      <x:c r="L74" s="6"/>
      <x:c r="M74" s="6"/>
      <x:c r="N74" s="6"/>
      <x:c r="O74" s="6"/>
      <x:c r="P74" s="6"/>
      <x:c r="Q74" s="6"/>
    </x:row>
    <x:row r="75" ht="19" customHeight="1">
      <x:c r="A75" s="6" t="str">
        <x:v>A4</x:v>
      </x:c>
      <x:c r="B75" s="34" t="n">
        <x:f>1/'МАИ суждения'!H41</x:f>
        <x:v>4.308869380063767</x:v>
      </x:c>
      <x:c r="C75" s="34" t="n">
        <x:f>1/'МАИ суждения'!H43</x:f>
        <x:v>1</x:v>
      </x:c>
      <x:c r="D75" s="34" t="n">
        <x:f>1/'МАИ суждения'!H44</x:f>
        <x:v>2</x:v>
      </x:c>
      <x:c r="E75" s="34" t="n">
        <x:f>1</x:f>
        <x:v>1</x:v>
      </x:c>
      <x:c r="F75" s="34" t="n">
        <x:f>(PRODUCT(B75:E75))^(1/4)</x:f>
        <x:v>1.713358846022671</x:v>
      </x:c>
      <x:c r="G75" s="34" t="n">
        <x:f>F75/SUM($F$72:$F$75)</x:f>
        <x:v>0.36510101388549265</x:v>
      </x:c>
      <x:c r="H75" s="34" t="n">
        <x:f>(B75*$G$72+C75*$G$73+D75*$G$74+E75*$G$75)/G75</x:f>
        <x:v>4.000293626050481</x:v>
      </x:c>
      <x:c r="I75" s="34"/>
      <x:c r="J75" s="6"/>
      <x:c r="K75" s="6"/>
      <x:c r="L75" s="6"/>
      <x:c r="M75" s="6"/>
      <x:c r="N75" s="6"/>
      <x:c r="O75" s="6"/>
      <x:c r="P75" s="6"/>
      <x:c r="Q75" s="6"/>
    </x:row>
    <x:row r="76" ht="19" customHeight="1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  <x:c r="Q76" s="6"/>
    </x:row>
    <x:row r="77" ht="19" customHeight="1">
      <x:c r="A77" s="32" t="str">
        <x:v>λmax</x:v>
      </x:c>
      <x:c r="B77" s="38" t="n">
        <x:f>AVERAGE(H72:H75)</x:f>
        <x:v>4.00628935857318</x:v>
      </x:c>
      <x:c r="C77" s="32" t="str">
        <x:v>CI</x:v>
      </x:c>
      <x:c r="D77" s="38" t="n">
        <x:f>(B77-4)/(4-1)</x:f>
        <x:v>0.0020964528577266015</x:v>
      </x:c>
      <x:c r="E77" s="32" t="str">
        <x:v>CR</x:v>
      </x:c>
      <x:c r="F77" s="38" t="n">
        <x:f>D77/0.9</x:f>
        <x:v>0.0023293920641406685</x:v>
      </x:c>
      <x:c r="G77" s="32" t="str">
        <x:v>Статус</x:v>
      </x:c>
      <x:c r="H77" s="32" t="str">
        <x:f>IF(F77&lt;=0.1,"OK","Пересмотреть")</x:f>
        <x:v>OK</x:v>
      </x:c>
      <x:c r="I77" s="6"/>
      <x:c r="J77" s="6"/>
      <x:c r="K77" s="6"/>
      <x:c r="L77" s="6"/>
      <x:c r="M77" s="6"/>
      <x:c r="N77" s="6"/>
      <x:c r="O77" s="6"/>
      <x:c r="P77" s="6"/>
      <x:c r="Q77" s="6"/>
    </x:row>
    <x:row r="78" ht="19" customHeight="1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  <x:c r="Q78" s="6"/>
    </x:row>
    <x:row r="79" ht="19" customHeight="1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  <x:c r="Q79" s="6"/>
    </x:row>
    <x:row r="80" ht="19" customHeight="1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  <x:c r="Q80" s="6"/>
    </x:row>
    <x:row r="81" ht="19" customHeight="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  <x:c r="Q81" s="6"/>
    </x:row>
    <x:row r="82" ht="19" customHeight="1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  <x:c r="Q82" s="6"/>
    </x:row>
    <x:row r="83" ht="19" customHeight="1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  <x:c r="Q83" s="6"/>
    </x:row>
    <x:row r="84" ht="19" customHeight="1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  <x:c r="Q84" s="6"/>
    </x:row>
    <x:row r="85" ht="19" customHeight="1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</x:row>
    <x:row r="86" ht="19" customHeight="1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  <x:c r="Q86" s="6"/>
    </x:row>
    <x:row r="87" ht="19" customHeight="1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  <x:c r="Q87" s="6"/>
    </x:row>
    <x:row r="88" ht="19" customHeight="1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  <x:c r="Q88" s="6"/>
    </x:row>
    <x:row r="89" ht="19" customHeight="1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  <x:c r="Q89" s="6"/>
    </x:row>
    <x:row r="90" ht="19" customHeight="1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  <x:c r="Q90" s="6"/>
    </x:row>
    <x:row r="91" ht="19" customHeight="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  <x:c r="Q91" s="6"/>
    </x:row>
    <x:row r="92" ht="19" customHeight="1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  <x:c r="Q92" s="6"/>
    </x:row>
    <x:row r="93" ht="19" customHeight="1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  <x:c r="Q93" s="6"/>
    </x:row>
    <x:row r="94" ht="19" customHeight="1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  <x:c r="Q94" s="6"/>
    </x:row>
    <x:row r="95" ht="19" customHeight="1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  <x:c r="Q95" s="6"/>
    </x:row>
    <x:row r="96" ht="19" customHeight="1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  <x:c r="Q96" s="6"/>
    </x:row>
    <x:row r="97" ht="19" customHeight="1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  <x:c r="Q97" s="6"/>
    </x:row>
    <x:row r="98" ht="19" customHeight="1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  <x:c r="Q98" s="6"/>
    </x:row>
    <x:row r="99" ht="19" customHeight="1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  <x:c r="Q99" s="6"/>
    </x:row>
    <x:row r="100" ht="19" customHeight="1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  <x:c r="Q100" s="6"/>
    </x:row>
    <x:row r="101" ht="19" customHeight="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  <x:c r="L101" s="6"/>
      <x:c r="M101" s="6"/>
      <x:c r="N101" s="6"/>
      <x:c r="O101" s="6"/>
      <x:c r="P101" s="6"/>
      <x:c r="Q101" s="6"/>
    </x:row>
    <x:row r="102" ht="19" customHeight="1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  <x:c r="M102" s="6"/>
      <x:c r="N102" s="6"/>
      <x:c r="O102" s="6"/>
      <x:c r="P102" s="6"/>
      <x:c r="Q102" s="6"/>
    </x:row>
    <x:row r="103" ht="19" customHeight="1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  <x:c r="L103" s="6"/>
      <x:c r="M103" s="6"/>
      <x:c r="N103" s="6"/>
      <x:c r="O103" s="6"/>
      <x:c r="P103" s="6"/>
      <x:c r="Q103" s="6"/>
    </x:row>
    <x:row r="104" ht="19" customHeight="1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  <x:c r="M104" s="6"/>
      <x:c r="N104" s="6"/>
      <x:c r="O104" s="6"/>
      <x:c r="P104" s="6"/>
      <x:c r="Q104" s="6"/>
    </x:row>
    <x:row r="105" ht="19" customHeight="1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  <x:c r="M105" s="6"/>
      <x:c r="N105" s="6"/>
      <x:c r="O105" s="6"/>
      <x:c r="P105" s="6"/>
      <x:c r="Q105" s="6"/>
    </x:row>
    <x:row r="106" ht="19" customHeight="1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  <x:c r="M106" s="6"/>
      <x:c r="N106" s="6"/>
      <x:c r="O106" s="6"/>
      <x:c r="P106" s="6"/>
      <x:c r="Q106" s="6"/>
    </x:row>
    <x:row r="107" ht="19" customHeight="1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  <x:c r="M107" s="6"/>
      <x:c r="N107" s="6"/>
      <x:c r="O107" s="6"/>
      <x:c r="P107" s="6"/>
      <x:c r="Q107" s="6"/>
    </x:row>
    <x:row r="108" ht="19" customHeight="1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  <x:c r="M108" s="6"/>
      <x:c r="N108" s="6"/>
      <x:c r="O108" s="6"/>
      <x:c r="P108" s="6"/>
      <x:c r="Q108" s="6"/>
    </x:row>
    <x:row r="109" ht="19" customHeight="1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  <x:c r="L109" s="6"/>
      <x:c r="M109" s="6"/>
      <x:c r="N109" s="6"/>
      <x:c r="O109" s="6"/>
      <x:c r="P109" s="6"/>
      <x:c r="Q109" s="6"/>
    </x:row>
    <x:row r="110" ht="19" customHeight="1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  <x:c r="L110" s="6"/>
      <x:c r="M110" s="6"/>
      <x:c r="N110" s="6"/>
      <x:c r="O110" s="6"/>
      <x:c r="P110" s="6"/>
      <x:c r="Q110" s="6"/>
    </x:row>
    <x:row r="111" ht="19" customHeight="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  <x:c r="L111" s="6"/>
      <x:c r="M111" s="6"/>
      <x:c r="N111" s="6"/>
      <x:c r="O111" s="6"/>
      <x:c r="P111" s="6"/>
      <x:c r="Q111" s="6"/>
    </x:row>
    <x:row r="112" ht="19" customHeight="1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  <x:c r="L112" s="6"/>
      <x:c r="M112" s="6"/>
      <x:c r="N112" s="6"/>
      <x:c r="O112" s="6"/>
      <x:c r="P112" s="6"/>
      <x:c r="Q112" s="6"/>
    </x:row>
    <x:row r="113" ht="19" customHeight="1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  <x:c r="L113" s="6"/>
      <x:c r="M113" s="6"/>
      <x:c r="N113" s="6"/>
      <x:c r="O113" s="6"/>
      <x:c r="P113" s="6"/>
      <x:c r="Q113" s="6"/>
    </x:row>
    <x:row r="114" ht="19" customHeight="1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  <x:c r="L114" s="6"/>
      <x:c r="M114" s="6"/>
      <x:c r="N114" s="6"/>
      <x:c r="O114" s="6"/>
      <x:c r="P114" s="6"/>
      <x:c r="Q114" s="6"/>
    </x:row>
    <x:row r="115" ht="19" customHeight="1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  <x:c r="M115" s="6"/>
      <x:c r="N115" s="6"/>
      <x:c r="O115" s="6"/>
      <x:c r="P115" s="6"/>
      <x:c r="Q115" s="6"/>
    </x:row>
    <x:row r="116" ht="19" customHeight="1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  <x:c r="L116" s="6"/>
      <x:c r="M116" s="6"/>
      <x:c r="N116" s="6"/>
      <x:c r="O116" s="6"/>
      <x:c r="P116" s="6"/>
      <x:c r="Q116" s="6"/>
    </x:row>
    <x:row r="117" ht="19" customHeight="1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  <x:c r="M117" s="6"/>
      <x:c r="N117" s="6"/>
      <x:c r="O117" s="6"/>
      <x:c r="P117" s="6"/>
      <x:c r="Q117" s="6"/>
    </x:row>
    <x:row r="118" ht="19" customHeight="1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  <x:c r="M118" s="6"/>
      <x:c r="N118" s="6"/>
      <x:c r="O118" s="6"/>
      <x:c r="P118" s="6"/>
      <x:c r="Q118" s="6"/>
    </x:row>
    <x:row r="119" ht="19" customHeight="1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  <x:c r="M119" s="6"/>
      <x:c r="N119" s="6"/>
      <x:c r="O119" s="6"/>
      <x:c r="P119" s="6"/>
      <x:c r="Q119" s="6"/>
    </x:row>
    <x:row r="120" ht="19" customHeight="1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  <x:c r="M120" s="6"/>
      <x:c r="N120" s="6"/>
      <x:c r="O120" s="6"/>
      <x:c r="P120" s="6"/>
      <x:c r="Q120" s="6"/>
    </x:row>
    <x:row r="121" ht="19" customHeight="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  <x:c r="M121" s="6"/>
      <x:c r="N121" s="6"/>
      <x:c r="O121" s="6"/>
      <x:c r="P121" s="6"/>
      <x:c r="Q121" s="6"/>
    </x:row>
    <x:row r="122" ht="19" customHeight="1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  <x:c r="L122" s="6"/>
      <x:c r="M122" s="6"/>
      <x:c r="N122" s="6"/>
      <x:c r="O122" s="6"/>
      <x:c r="P122" s="6"/>
      <x:c r="Q122" s="6"/>
    </x:row>
    <x:row r="123" ht="19" customHeight="1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  <x:c r="L123" s="6"/>
      <x:c r="M123" s="6"/>
      <x:c r="N123" s="6"/>
      <x:c r="O123" s="6"/>
      <x:c r="P123" s="6"/>
      <x:c r="Q123" s="6"/>
    </x:row>
    <x:row r="124" ht="19" customHeight="1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  <x:c r="L124" s="6"/>
      <x:c r="M124" s="6"/>
      <x:c r="N124" s="6"/>
      <x:c r="O124" s="6"/>
      <x:c r="P124" s="6"/>
      <x:c r="Q124" s="6"/>
    </x:row>
    <x:row r="125" ht="19" customHeight="1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  <x:c r="L125" s="6"/>
      <x:c r="M125" s="6"/>
      <x:c r="N125" s="6"/>
      <x:c r="O125" s="6"/>
      <x:c r="P125" s="6"/>
      <x:c r="Q125" s="6"/>
    </x:row>
    <x:row r="126" ht="19" customHeight="1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  <x:c r="L126" s="6"/>
      <x:c r="M126" s="6"/>
      <x:c r="N126" s="6"/>
      <x:c r="O126" s="6"/>
      <x:c r="P126" s="6"/>
      <x:c r="Q126" s="6"/>
    </x:row>
    <x:row r="127" ht="19" customHeight="1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  <x:c r="L127" s="6"/>
      <x:c r="M127" s="6"/>
      <x:c r="N127" s="6"/>
      <x:c r="O127" s="6"/>
      <x:c r="P127" s="6"/>
      <x:c r="Q127" s="6"/>
    </x:row>
    <x:row r="128" ht="19" customHeight="1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  <x:c r="M128" s="6"/>
      <x:c r="N128" s="6"/>
      <x:c r="O128" s="6"/>
      <x:c r="P128" s="6"/>
      <x:c r="Q128" s="6"/>
    </x:row>
    <x:row r="129" ht="19" customHeight="1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  <x:c r="L129" s="6"/>
      <x:c r="M129" s="6"/>
      <x:c r="N129" s="6"/>
      <x:c r="O129" s="6"/>
      <x:c r="P129" s="6"/>
      <x:c r="Q129" s="6"/>
    </x:row>
    <x:row r="130" ht="19" customHeight="1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  <x:c r="M130" s="6"/>
      <x:c r="N130" s="6"/>
      <x:c r="O130" s="6"/>
      <x:c r="P130" s="6"/>
      <x:c r="Q130" s="6"/>
    </x:row>
    <x:row r="131" ht="19" customHeight="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  <x:c r="M131" s="6"/>
      <x:c r="N131" s="6"/>
      <x:c r="O131" s="6"/>
      <x:c r="P131" s="6"/>
      <x:c r="Q131" s="6"/>
    </x:row>
    <x:row r="132" ht="19" customHeight="1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  <x:c r="M132" s="6"/>
      <x:c r="N132" s="6"/>
      <x:c r="O132" s="6"/>
      <x:c r="P132" s="6"/>
      <x:c r="Q132" s="6"/>
    </x:row>
    <x:row r="133" ht="19" customHeight="1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  <x:c r="M133" s="6"/>
      <x:c r="N133" s="6"/>
      <x:c r="O133" s="6"/>
      <x:c r="P133" s="6"/>
      <x:c r="Q133" s="6"/>
    </x:row>
    <x:row r="134" ht="19" customHeight="1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  <x:c r="M134" s="6"/>
      <x:c r="N134" s="6"/>
      <x:c r="O134" s="6"/>
      <x:c r="P134" s="6"/>
      <x:c r="Q134" s="6"/>
    </x:row>
    <x:row r="135" ht="19" customHeight="1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  <x:c r="M135" s="6"/>
      <x:c r="N135" s="6"/>
      <x:c r="O135" s="6"/>
      <x:c r="P135" s="6"/>
      <x:c r="Q135" s="6"/>
    </x:row>
    <x:row r="136" ht="19" customHeight="1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  <x:c r="M136" s="6"/>
      <x:c r="N136" s="6"/>
      <x:c r="O136" s="6"/>
      <x:c r="P136" s="6"/>
      <x:c r="Q136" s="6"/>
    </x:row>
    <x:row r="137" ht="19" customHeight="1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  <x:c r="M137" s="6"/>
      <x:c r="N137" s="6"/>
      <x:c r="O137" s="6"/>
      <x:c r="P137" s="6"/>
      <x:c r="Q137" s="6"/>
    </x:row>
    <x:row r="138" ht="19" customHeight="1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  <x:c r="M138" s="6"/>
      <x:c r="N138" s="6"/>
      <x:c r="O138" s="6"/>
      <x:c r="P138" s="6"/>
      <x:c r="Q138" s="6"/>
    </x:row>
    <x:row r="139" ht="19" customHeight="1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  <x:c r="N139" s="6"/>
      <x:c r="O139" s="6"/>
      <x:c r="P139" s="6"/>
      <x:c r="Q139" s="6"/>
    </x:row>
    <x:row r="140" ht="19" customHeight="1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  <x:c r="M140" s="6"/>
      <x:c r="N140" s="6"/>
      <x:c r="O140" s="6"/>
      <x:c r="P140" s="6"/>
      <x:c r="Q140" s="6"/>
    </x:row>
    <x:row r="141" ht="19" customHeight="1">
      <x:c r="A141" s="6"/>
      <x:c r="B141" s="6"/>
      <x:c r="C141" s="6"/>
      <x:c r="D141" s="6"/>
      <x:c r="E141" s="6"/>
      <x:c r="F141" s="6"/>
      <x:c r="G141" s="6"/>
      <x:c r="H141" s="6"/>
      <x:c r="I141" s="6"/>
      <x:c r="J141" s="6"/>
      <x:c r="K141" s="6"/>
      <x:c r="L141" s="6"/>
      <x:c r="M141" s="6"/>
      <x:c r="N141" s="6"/>
      <x:c r="O141" s="6"/>
      <x:c r="P141" s="6"/>
      <x:c r="Q141" s="6"/>
    </x:row>
    <x:row r="142" ht="19" customHeight="1">
      <x:c r="A142" s="6"/>
      <x:c r="B142" s="6"/>
      <x:c r="C142" s="6"/>
      <x:c r="D142" s="6"/>
      <x:c r="E142" s="6"/>
      <x:c r="F142" s="6"/>
      <x:c r="G142" s="6"/>
      <x:c r="H142" s="6"/>
      <x:c r="I142" s="6"/>
      <x:c r="J142" s="6"/>
      <x:c r="K142" s="6"/>
      <x:c r="L142" s="6"/>
      <x:c r="M142" s="6"/>
      <x:c r="N142" s="6"/>
      <x:c r="O142" s="6"/>
      <x:c r="P142" s="6"/>
      <x:c r="Q142" s="6"/>
    </x:row>
    <x:row r="143" ht="19" customHeight="1">
      <x:c r="A143" s="6"/>
      <x:c r="B143" s="6"/>
      <x:c r="C143" s="6"/>
      <x:c r="D143" s="6"/>
      <x:c r="E143" s="6"/>
      <x:c r="F143" s="6"/>
      <x:c r="G143" s="6"/>
      <x:c r="H143" s="6"/>
      <x:c r="I143" s="6"/>
      <x:c r="J143" s="6"/>
      <x:c r="K143" s="6"/>
      <x:c r="L143" s="6"/>
      <x:c r="M143" s="6"/>
      <x:c r="N143" s="6"/>
      <x:c r="O143" s="6"/>
      <x:c r="P143" s="6"/>
      <x:c r="Q143" s="6"/>
    </x:row>
    <x:row r="144" ht="19" customHeight="1">
      <x:c r="A144" s="6"/>
      <x:c r="B144" s="6"/>
      <x:c r="C144" s="6"/>
      <x:c r="D144" s="6"/>
      <x:c r="E144" s="6"/>
      <x:c r="F144" s="6"/>
      <x:c r="G144" s="6"/>
      <x:c r="H144" s="6"/>
      <x:c r="I144" s="6"/>
      <x:c r="J144" s="6"/>
      <x:c r="K144" s="6"/>
      <x:c r="L144" s="6"/>
      <x:c r="M144" s="6"/>
      <x:c r="N144" s="6"/>
      <x:c r="O144" s="6"/>
      <x:c r="P144" s="6"/>
      <x:c r="Q144" s="6"/>
    </x:row>
    <x:row r="145" ht="19" customHeight="1">
      <x:c r="A145" s="6"/>
      <x:c r="B145" s="6"/>
      <x:c r="C145" s="6"/>
      <x:c r="D145" s="6"/>
      <x:c r="E145" s="6"/>
      <x:c r="F145" s="6"/>
      <x:c r="G145" s="6"/>
      <x:c r="H145" s="6"/>
      <x:c r="I145" s="6"/>
      <x:c r="J145" s="6"/>
      <x:c r="K145" s="6"/>
      <x:c r="L145" s="6"/>
      <x:c r="M145" s="6"/>
      <x:c r="N145" s="6"/>
      <x:c r="O145" s="6"/>
      <x:c r="P145" s="6"/>
      <x:c r="Q145" s="6"/>
    </x:row>
    <x:row r="146" ht="19" customHeight="1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  <x:c r="K146" s="6"/>
      <x:c r="L146" s="6"/>
      <x:c r="M146" s="6"/>
      <x:c r="N146" s="6"/>
      <x:c r="O146" s="6"/>
      <x:c r="P146" s="6"/>
      <x:c r="Q146" s="6"/>
    </x:row>
    <x:row r="147" ht="19" customHeight="1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  <x:c r="K147" s="6"/>
      <x:c r="L147" s="6"/>
      <x:c r="M147" s="6"/>
      <x:c r="N147" s="6"/>
      <x:c r="O147" s="6"/>
      <x:c r="P147" s="6"/>
      <x:c r="Q147" s="6"/>
    </x:row>
    <x:row r="148" ht="19" customHeight="1">
      <x:c r="A148" s="6"/>
      <x:c r="B148" s="6"/>
      <x:c r="C148" s="6"/>
      <x:c r="D148" s="6"/>
      <x:c r="E148" s="6"/>
      <x:c r="F148" s="6"/>
      <x:c r="G148" s="6"/>
      <x:c r="H148" s="6"/>
      <x:c r="I148" s="6"/>
      <x:c r="J148" s="6"/>
      <x:c r="K148" s="6"/>
      <x:c r="L148" s="6"/>
      <x:c r="M148" s="6"/>
      <x:c r="N148" s="6"/>
      <x:c r="O148" s="6"/>
      <x:c r="P148" s="6"/>
      <x:c r="Q148" s="6"/>
    </x:row>
    <x:row r="149" ht="19" customHeight="1">
      <x:c r="A149" s="6"/>
      <x:c r="B149" s="6"/>
      <x:c r="C149" s="6"/>
      <x:c r="D149" s="6"/>
      <x:c r="E149" s="6"/>
      <x:c r="F149" s="6"/>
      <x:c r="G149" s="6"/>
      <x:c r="H149" s="6"/>
      <x:c r="I149" s="6"/>
      <x:c r="J149" s="6"/>
      <x:c r="K149" s="6"/>
      <x:c r="L149" s="6"/>
      <x:c r="M149" s="6"/>
      <x:c r="N149" s="6"/>
      <x:c r="O149" s="6"/>
      <x:c r="P149" s="6"/>
      <x:c r="Q149" s="6"/>
    </x:row>
    <x:row r="150" ht="19" customHeight="1">
      <x:c r="A150" s="6"/>
      <x:c r="B150" s="6"/>
      <x:c r="C150" s="6"/>
      <x:c r="D150" s="6"/>
      <x:c r="E150" s="6"/>
      <x:c r="F150" s="6"/>
      <x:c r="G150" s="6"/>
      <x:c r="H150" s="6"/>
      <x:c r="I150" s="6"/>
      <x:c r="J150" s="6"/>
      <x:c r="K150" s="6"/>
      <x:c r="L150" s="6"/>
      <x:c r="M150" s="6"/>
      <x:c r="N150" s="6"/>
      <x:c r="O150" s="6"/>
      <x:c r="P150" s="6"/>
      <x:c r="Q150" s="6"/>
    </x:row>
    <x:row r="151" ht="19" customHeight="1">
      <x:c r="A151" s="6"/>
      <x:c r="B151" s="6"/>
      <x:c r="C151" s="6"/>
      <x:c r="D151" s="6"/>
      <x:c r="E151" s="6"/>
      <x:c r="F151" s="6"/>
      <x:c r="G151" s="6"/>
      <x:c r="H151" s="6"/>
      <x:c r="I151" s="6"/>
      <x:c r="J151" s="6"/>
      <x:c r="K151" s="6"/>
      <x:c r="L151" s="6"/>
      <x:c r="M151" s="6"/>
      <x:c r="N151" s="6"/>
      <x:c r="O151" s="6"/>
      <x:c r="P151" s="6"/>
      <x:c r="Q151" s="6"/>
    </x:row>
    <x:row r="152" ht="19" customHeight="1">
      <x:c r="A152" s="6"/>
      <x:c r="B152" s="6"/>
      <x:c r="C152" s="6"/>
      <x:c r="D152" s="6"/>
      <x:c r="E152" s="6"/>
      <x:c r="F152" s="6"/>
      <x:c r="G152" s="6"/>
      <x:c r="H152" s="6"/>
      <x:c r="I152" s="6"/>
      <x:c r="J152" s="6"/>
      <x:c r="K152" s="6"/>
      <x:c r="L152" s="6"/>
      <x:c r="M152" s="6"/>
      <x:c r="N152" s="6"/>
      <x:c r="O152" s="6"/>
      <x:c r="P152" s="6"/>
      <x:c r="Q152" s="6"/>
    </x:row>
    <x:row r="153" ht="19" customHeight="1">
      <x:c r="A153" s="6"/>
      <x:c r="B153" s="6"/>
      <x:c r="C153" s="6"/>
      <x:c r="D153" s="6"/>
      <x:c r="E153" s="6"/>
      <x:c r="F153" s="6"/>
      <x:c r="G153" s="6"/>
      <x:c r="H153" s="6"/>
      <x:c r="I153" s="6"/>
      <x:c r="J153" s="6"/>
      <x:c r="K153" s="6"/>
      <x:c r="L153" s="6"/>
      <x:c r="M153" s="6"/>
      <x:c r="N153" s="6"/>
      <x:c r="O153" s="6"/>
      <x:c r="P153" s="6"/>
      <x:c r="Q153" s="6"/>
    </x:row>
    <x:row r="154" ht="19" customHeight="1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  <x:c r="K154" s="6"/>
      <x:c r="L154" s="6"/>
      <x:c r="M154" s="6"/>
      <x:c r="N154" s="6"/>
      <x:c r="O154" s="6"/>
      <x:c r="P154" s="6"/>
      <x:c r="Q154" s="6"/>
    </x:row>
    <x:row r="155" ht="19" customHeight="1">
      <x:c r="A155" s="6"/>
      <x:c r="B155" s="6"/>
      <x:c r="C155" s="6"/>
      <x:c r="D155" s="6"/>
      <x:c r="E155" s="6"/>
      <x:c r="F155" s="6"/>
      <x:c r="G155" s="6"/>
      <x:c r="H155" s="6"/>
      <x:c r="I155" s="6"/>
      <x:c r="J155" s="6"/>
      <x:c r="K155" s="6"/>
      <x:c r="L155" s="6"/>
      <x:c r="M155" s="6"/>
      <x:c r="N155" s="6"/>
      <x:c r="O155" s="6"/>
      <x:c r="P155" s="6"/>
      <x:c r="Q155" s="6"/>
    </x:row>
    <x:row r="156" ht="19" customHeight="1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  <x:c r="K156" s="6"/>
      <x:c r="L156" s="6"/>
      <x:c r="M156" s="6"/>
      <x:c r="N156" s="6"/>
      <x:c r="O156" s="6"/>
      <x:c r="P156" s="6"/>
      <x:c r="Q156" s="6"/>
    </x:row>
    <x:row r="157" ht="19" customHeight="1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  <x:c r="K157" s="6"/>
      <x:c r="L157" s="6"/>
      <x:c r="M157" s="6"/>
      <x:c r="N157" s="6"/>
      <x:c r="O157" s="6"/>
      <x:c r="P157" s="6"/>
      <x:c r="Q157" s="6"/>
    </x:row>
    <x:row r="158" ht="19" customHeight="1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  <x:c r="K158" s="6"/>
      <x:c r="L158" s="6"/>
      <x:c r="M158" s="6"/>
      <x:c r="N158" s="6"/>
      <x:c r="O158" s="6"/>
      <x:c r="P158" s="6"/>
      <x:c r="Q158" s="6"/>
    </x:row>
    <x:row r="159" ht="19" customHeight="1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  <x:c r="K159" s="6"/>
      <x:c r="L159" s="6"/>
      <x:c r="M159" s="6"/>
      <x:c r="N159" s="6"/>
      <x:c r="O159" s="6"/>
      <x:c r="P159" s="6"/>
      <x:c r="Q159" s="6"/>
    </x:row>
    <x:row r="160" ht="19" customHeight="1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  <x:c r="K160" s="6"/>
      <x:c r="L160" s="6"/>
      <x:c r="M160" s="6"/>
      <x:c r="N160" s="6"/>
      <x:c r="O160" s="6"/>
      <x:c r="P160" s="6"/>
      <x:c r="Q160" s="6"/>
    </x:row>
    <x:row r="161" ht="19" customHeight="1">
      <x:c r="A161" s="6"/>
      <x:c r="B161" s="6"/>
      <x:c r="C161" s="6"/>
      <x:c r="D161" s="6"/>
      <x:c r="E161" s="6"/>
      <x:c r="F161" s="6"/>
      <x:c r="G161" s="6"/>
      <x:c r="H161" s="6"/>
      <x:c r="I161" s="6"/>
      <x:c r="J161" s="6"/>
      <x:c r="K161" s="6"/>
      <x:c r="L161" s="6"/>
      <x:c r="M161" s="6"/>
      <x:c r="N161" s="6"/>
      <x:c r="O161" s="6"/>
      <x:c r="P161" s="6"/>
      <x:c r="Q161" s="6"/>
    </x:row>
    <x:row r="162" ht="19" customHeight="1">
      <x:c r="A162" s="6"/>
      <x:c r="B162" s="6"/>
      <x:c r="C162" s="6"/>
      <x:c r="D162" s="6"/>
      <x:c r="E162" s="6"/>
      <x:c r="F162" s="6"/>
      <x:c r="G162" s="6"/>
      <x:c r="H162" s="6"/>
      <x:c r="I162" s="6"/>
      <x:c r="J162" s="6"/>
      <x:c r="K162" s="6"/>
      <x:c r="L162" s="6"/>
      <x:c r="M162" s="6"/>
      <x:c r="N162" s="6"/>
      <x:c r="O162" s="6"/>
      <x:c r="P162" s="6"/>
      <x:c r="Q162" s="6"/>
    </x:row>
    <x:row r="163" ht="19" customHeight="1">
      <x:c r="A163" s="6"/>
      <x:c r="B163" s="6"/>
      <x:c r="C163" s="6"/>
      <x:c r="D163" s="6"/>
      <x:c r="E163" s="6"/>
      <x:c r="F163" s="6"/>
      <x:c r="G163" s="6"/>
      <x:c r="H163" s="6"/>
      <x:c r="I163" s="6"/>
      <x:c r="J163" s="6"/>
      <x:c r="K163" s="6"/>
      <x:c r="L163" s="6"/>
      <x:c r="M163" s="6"/>
      <x:c r="N163" s="6"/>
      <x:c r="O163" s="6"/>
      <x:c r="P163" s="6"/>
      <x:c r="Q163" s="6"/>
    </x:row>
    <x:row r="164" ht="19" customHeight="1">
      <x:c r="A164" s="6"/>
      <x:c r="B164" s="6"/>
      <x:c r="C164" s="6"/>
      <x:c r="D164" s="6"/>
      <x:c r="E164" s="6"/>
      <x:c r="F164" s="6"/>
      <x:c r="G164" s="6"/>
      <x:c r="H164" s="6"/>
      <x:c r="I164" s="6"/>
      <x:c r="J164" s="6"/>
      <x:c r="K164" s="6"/>
      <x:c r="L164" s="6"/>
      <x:c r="M164" s="6"/>
      <x:c r="N164" s="6"/>
      <x:c r="O164" s="6"/>
      <x:c r="P164" s="6"/>
      <x:c r="Q164" s="6"/>
    </x:row>
    <x:row r="165" ht="19" customHeight="1">
      <x:c r="A165" s="6"/>
      <x:c r="B165" s="6"/>
      <x:c r="C165" s="6"/>
      <x:c r="D165" s="6"/>
      <x:c r="E165" s="6"/>
      <x:c r="F165" s="6"/>
      <x:c r="G165" s="6"/>
      <x:c r="H165" s="6"/>
      <x:c r="I165" s="6"/>
      <x:c r="J165" s="6"/>
      <x:c r="K165" s="6"/>
      <x:c r="L165" s="6"/>
      <x:c r="M165" s="6"/>
      <x:c r="N165" s="6"/>
      <x:c r="O165" s="6"/>
      <x:c r="P165" s="6"/>
      <x:c r="Q165" s="6"/>
    </x:row>
    <x:row r="166" ht="19" customHeight="1">
      <x:c r="A166" s="6"/>
      <x:c r="B166" s="6"/>
      <x:c r="C166" s="6"/>
      <x:c r="D166" s="6"/>
      <x:c r="E166" s="6"/>
      <x:c r="F166" s="6"/>
      <x:c r="G166" s="6"/>
      <x:c r="H166" s="6"/>
      <x:c r="I166" s="6"/>
      <x:c r="J166" s="6"/>
      <x:c r="K166" s="6"/>
      <x:c r="L166" s="6"/>
      <x:c r="M166" s="6"/>
      <x:c r="N166" s="6"/>
      <x:c r="O166" s="6"/>
      <x:c r="P166" s="6"/>
      <x:c r="Q166" s="6"/>
    </x:row>
    <x:row r="167" ht="19" customHeight="1">
      <x:c r="A167" s="6"/>
      <x:c r="B167" s="6"/>
      <x:c r="C167" s="6"/>
      <x:c r="D167" s="6"/>
      <x:c r="E167" s="6"/>
      <x:c r="F167" s="6"/>
      <x:c r="G167" s="6"/>
      <x:c r="H167" s="6"/>
      <x:c r="I167" s="6"/>
      <x:c r="J167" s="6"/>
      <x:c r="K167" s="6"/>
      <x:c r="L167" s="6"/>
      <x:c r="M167" s="6"/>
      <x:c r="N167" s="6"/>
      <x:c r="O167" s="6"/>
      <x:c r="P167" s="6"/>
      <x:c r="Q167" s="6"/>
    </x:row>
    <x:row r="168" ht="19" customHeight="1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  <x:c r="K168" s="6"/>
      <x:c r="L168" s="6"/>
      <x:c r="M168" s="6"/>
      <x:c r="N168" s="6"/>
      <x:c r="O168" s="6"/>
      <x:c r="P168" s="6"/>
      <x:c r="Q168" s="6"/>
    </x:row>
    <x:row r="169" ht="19" customHeight="1">
      <x:c r="A169" s="6"/>
      <x:c r="B169" s="6"/>
      <x:c r="C169" s="6"/>
      <x:c r="D169" s="6"/>
      <x:c r="E169" s="6"/>
      <x:c r="F169" s="6"/>
      <x:c r="G169" s="6"/>
      <x:c r="H169" s="6"/>
      <x:c r="I169" s="6"/>
      <x:c r="J169" s="6"/>
      <x:c r="K169" s="6"/>
      <x:c r="L169" s="6"/>
      <x:c r="M169" s="6"/>
      <x:c r="N169" s="6"/>
      <x:c r="O169" s="6"/>
      <x:c r="P169" s="6"/>
      <x:c r="Q169" s="6"/>
    </x:row>
    <x:row r="170" ht="19" customHeight="1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  <x:c r="K170" s="6"/>
      <x:c r="L170" s="6"/>
      <x:c r="M170" s="6"/>
      <x:c r="N170" s="6"/>
      <x:c r="O170" s="6"/>
      <x:c r="P170" s="6"/>
      <x:c r="Q170" s="6"/>
    </x:row>
    <x:row r="171" ht="19" customHeight="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  <x:c r="M171" s="6"/>
      <x:c r="N171" s="6"/>
      <x:c r="O171" s="6"/>
      <x:c r="P171" s="6"/>
      <x:c r="Q171" s="6"/>
    </x:row>
    <x:row r="172" ht="19" customHeight="1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  <x:c r="K172" s="6"/>
      <x:c r="L172" s="6"/>
      <x:c r="M172" s="6"/>
      <x:c r="N172" s="6"/>
      <x:c r="O172" s="6"/>
      <x:c r="P172" s="6"/>
      <x:c r="Q172" s="6"/>
    </x:row>
    <x:row r="173" ht="19" customHeight="1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  <x:c r="K173" s="6"/>
      <x:c r="L173" s="6"/>
      <x:c r="M173" s="6"/>
      <x:c r="N173" s="6"/>
      <x:c r="O173" s="6"/>
      <x:c r="P173" s="6"/>
      <x:c r="Q173" s="6"/>
    </x:row>
    <x:row r="174" ht="19" customHeight="1">
      <x:c r="A174" s="6"/>
      <x:c r="B174" s="6"/>
      <x:c r="C174" s="6"/>
      <x:c r="D174" s="6"/>
      <x:c r="E174" s="6"/>
      <x:c r="F174" s="6"/>
      <x:c r="G174" s="6"/>
      <x:c r="H174" s="6"/>
      <x:c r="I174" s="6"/>
      <x:c r="J174" s="6"/>
      <x:c r="K174" s="6"/>
      <x:c r="L174" s="6"/>
      <x:c r="M174" s="6"/>
      <x:c r="N174" s="6"/>
      <x:c r="O174" s="6"/>
      <x:c r="P174" s="6"/>
      <x:c r="Q174" s="6"/>
    </x:row>
    <x:row r="175" ht="19" customHeight="1">
      <x:c r="A175" s="6"/>
      <x:c r="B175" s="6"/>
      <x:c r="C175" s="6"/>
      <x:c r="D175" s="6"/>
      <x:c r="E175" s="6"/>
      <x:c r="F175" s="6"/>
      <x:c r="G175" s="6"/>
      <x:c r="H175" s="6"/>
      <x:c r="I175" s="6"/>
      <x:c r="J175" s="6"/>
      <x:c r="K175" s="6"/>
      <x:c r="L175" s="6"/>
      <x:c r="M175" s="6"/>
      <x:c r="N175" s="6"/>
      <x:c r="O175" s="6"/>
      <x:c r="P175" s="6"/>
      <x:c r="Q175" s="6"/>
    </x:row>
    <x:row r="176" ht="19" customHeight="1">
      <x:c r="A176" s="6"/>
      <x:c r="B176" s="6"/>
      <x:c r="C176" s="6"/>
      <x:c r="D176" s="6"/>
      <x:c r="E176" s="6"/>
      <x:c r="F176" s="6"/>
      <x:c r="G176" s="6"/>
      <x:c r="H176" s="6"/>
      <x:c r="I176" s="6"/>
      <x:c r="J176" s="6"/>
      <x:c r="K176" s="6"/>
      <x:c r="L176" s="6"/>
      <x:c r="M176" s="6"/>
      <x:c r="N176" s="6"/>
      <x:c r="O176" s="6"/>
      <x:c r="P176" s="6"/>
      <x:c r="Q176" s="6"/>
    </x:row>
    <x:row r="177" ht="19" customHeight="1">
      <x:c r="A177" s="6"/>
      <x:c r="B177" s="6"/>
      <x:c r="C177" s="6"/>
      <x:c r="D177" s="6"/>
      <x:c r="E177" s="6"/>
      <x:c r="F177" s="6"/>
      <x:c r="G177" s="6"/>
      <x:c r="H177" s="6"/>
      <x:c r="I177" s="6"/>
      <x:c r="J177" s="6"/>
      <x:c r="K177" s="6"/>
      <x:c r="L177" s="6"/>
      <x:c r="M177" s="6"/>
      <x:c r="N177" s="6"/>
      <x:c r="O177" s="6"/>
      <x:c r="P177" s="6"/>
      <x:c r="Q177" s="6"/>
    </x:row>
    <x:row r="178" ht="19" customHeight="1">
      <x:c r="A178" s="6"/>
      <x:c r="B178" s="6"/>
      <x:c r="C178" s="6"/>
      <x:c r="D178" s="6"/>
      <x:c r="E178" s="6"/>
      <x:c r="F178" s="6"/>
      <x:c r="G178" s="6"/>
      <x:c r="H178" s="6"/>
      <x:c r="I178" s="6"/>
      <x:c r="J178" s="6"/>
      <x:c r="K178" s="6"/>
      <x:c r="L178" s="6"/>
      <x:c r="M178" s="6"/>
      <x:c r="N178" s="6"/>
      <x:c r="O178" s="6"/>
      <x:c r="P178" s="6"/>
      <x:c r="Q178" s="6"/>
    </x:row>
    <x:row r="179" ht="19" customHeight="1">
      <x:c r="A179" s="6"/>
      <x:c r="B179" s="6"/>
      <x:c r="C179" s="6"/>
      <x:c r="D179" s="6"/>
      <x:c r="E179" s="6"/>
      <x:c r="F179" s="6"/>
      <x:c r="G179" s="6"/>
      <x:c r="H179" s="6"/>
      <x:c r="I179" s="6"/>
      <x:c r="J179" s="6"/>
      <x:c r="K179" s="6"/>
      <x:c r="L179" s="6"/>
      <x:c r="M179" s="6"/>
      <x:c r="N179" s="6"/>
      <x:c r="O179" s="6"/>
      <x:c r="P179" s="6"/>
      <x:c r="Q179" s="6"/>
    </x:row>
    <x:row r="180" ht="19" customHeight="1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  <x:c r="K180" s="6"/>
      <x:c r="L180" s="6"/>
      <x:c r="M180" s="6"/>
      <x:c r="N180" s="6"/>
      <x:c r="O180" s="6"/>
      <x:c r="P180" s="6"/>
      <x:c r="Q180" s="6"/>
    </x:row>
    <x:row r="181" ht="19" customHeight="1">
      <x:c r="A181" s="6"/>
      <x:c r="B181" s="6"/>
      <x:c r="C181" s="6"/>
      <x:c r="D181" s="6"/>
      <x:c r="E181" s="6"/>
      <x:c r="F181" s="6"/>
      <x:c r="G181" s="6"/>
      <x:c r="H181" s="6"/>
      <x:c r="I181" s="6"/>
      <x:c r="J181" s="6"/>
      <x:c r="K181" s="6"/>
      <x:c r="L181" s="6"/>
      <x:c r="M181" s="6"/>
      <x:c r="N181" s="6"/>
      <x:c r="O181" s="6"/>
      <x:c r="P181" s="6"/>
      <x:c r="Q181" s="6"/>
    </x:row>
    <x:row r="182" ht="19" customHeight="1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  <x:c r="K182" s="6"/>
      <x:c r="L182" s="6"/>
      <x:c r="M182" s="6"/>
      <x:c r="N182" s="6"/>
      <x:c r="O182" s="6"/>
      <x:c r="P182" s="6"/>
      <x:c r="Q182" s="6"/>
    </x:row>
    <x:row r="183" ht="19" customHeight="1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  <x:c r="M183" s="6"/>
      <x:c r="N183" s="6"/>
      <x:c r="O183" s="6"/>
      <x:c r="P183" s="6"/>
      <x:c r="Q183" s="6"/>
    </x:row>
    <x:row r="184" ht="19" customHeight="1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  <x:c r="K184" s="6"/>
      <x:c r="L184" s="6"/>
      <x:c r="M184" s="6"/>
      <x:c r="N184" s="6"/>
      <x:c r="O184" s="6"/>
      <x:c r="P184" s="6"/>
      <x:c r="Q184" s="6"/>
    </x:row>
    <x:row r="185" ht="19" customHeight="1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  <x:c r="M185" s="6"/>
      <x:c r="N185" s="6"/>
      <x:c r="O185" s="6"/>
      <x:c r="P185" s="6"/>
      <x:c r="Q185" s="6"/>
    </x:row>
    <x:row r="186" ht="19" customHeight="1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  <x:c r="K186" s="6"/>
      <x:c r="L186" s="6"/>
      <x:c r="M186" s="6"/>
      <x:c r="N186" s="6"/>
      <x:c r="O186" s="6"/>
      <x:c r="P186" s="6"/>
      <x:c r="Q186" s="6"/>
    </x:row>
    <x:row r="187" ht="19" customHeight="1">
      <x:c r="A187" s="6"/>
      <x:c r="B187" s="6"/>
      <x:c r="C187" s="6"/>
      <x:c r="D187" s="6"/>
      <x:c r="E187" s="6"/>
      <x:c r="F187" s="6"/>
      <x:c r="G187" s="6"/>
      <x:c r="H187" s="6"/>
      <x:c r="I187" s="6"/>
      <x:c r="J187" s="6"/>
      <x:c r="K187" s="6"/>
      <x:c r="L187" s="6"/>
      <x:c r="M187" s="6"/>
      <x:c r="N187" s="6"/>
      <x:c r="O187" s="6"/>
      <x:c r="P187" s="6"/>
      <x:c r="Q187" s="6"/>
    </x:row>
    <x:row r="188" ht="19" customHeight="1">
      <x:c r="A188" s="6"/>
      <x:c r="B188" s="6"/>
      <x:c r="C188" s="6"/>
      <x:c r="D188" s="6"/>
      <x:c r="E188" s="6"/>
      <x:c r="F188" s="6"/>
      <x:c r="G188" s="6"/>
      <x:c r="H188" s="6"/>
      <x:c r="I188" s="6"/>
      <x:c r="J188" s="6"/>
      <x:c r="K188" s="6"/>
      <x:c r="L188" s="6"/>
      <x:c r="M188" s="6"/>
      <x:c r="N188" s="6"/>
      <x:c r="O188" s="6"/>
      <x:c r="P188" s="6"/>
      <x:c r="Q188" s="6"/>
    </x:row>
    <x:row r="189" ht="19" customHeight="1">
      <x:c r="A189" s="6"/>
      <x:c r="B189" s="6"/>
      <x:c r="C189" s="6"/>
      <x:c r="D189" s="6"/>
      <x:c r="E189" s="6"/>
      <x:c r="F189" s="6"/>
      <x:c r="G189" s="6"/>
      <x:c r="H189" s="6"/>
      <x:c r="I189" s="6"/>
      <x:c r="J189" s="6"/>
      <x:c r="K189" s="6"/>
      <x:c r="L189" s="6"/>
      <x:c r="M189" s="6"/>
      <x:c r="N189" s="6"/>
      <x:c r="O189" s="6"/>
      <x:c r="P189" s="6"/>
      <x:c r="Q189" s="6"/>
    </x:row>
    <x:row r="190" ht="19" customHeight="1">
      <x:c r="A190" s="6"/>
      <x:c r="B190" s="6"/>
      <x:c r="C190" s="6"/>
      <x:c r="D190" s="6"/>
      <x:c r="E190" s="6"/>
      <x:c r="F190" s="6"/>
      <x:c r="G190" s="6"/>
      <x:c r="H190" s="6"/>
      <x:c r="I190" s="6"/>
      <x:c r="J190" s="6"/>
      <x:c r="K190" s="6"/>
      <x:c r="L190" s="6"/>
      <x:c r="M190" s="6"/>
      <x:c r="N190" s="6"/>
      <x:c r="O190" s="6"/>
      <x:c r="P190" s="6"/>
      <x:c r="Q190" s="6"/>
    </x:row>
    <x:row r="191" ht="19" customHeight="1">
      <x:c r="A191" s="6"/>
      <x:c r="B191" s="6"/>
      <x:c r="C191" s="6"/>
      <x:c r="D191" s="6"/>
      <x:c r="E191" s="6"/>
      <x:c r="F191" s="6"/>
      <x:c r="G191" s="6"/>
      <x:c r="H191" s="6"/>
      <x:c r="I191" s="6"/>
      <x:c r="J191" s="6"/>
      <x:c r="K191" s="6"/>
      <x:c r="L191" s="6"/>
      <x:c r="M191" s="6"/>
      <x:c r="N191" s="6"/>
      <x:c r="O191" s="6"/>
      <x:c r="P191" s="6"/>
      <x:c r="Q191" s="6"/>
    </x:row>
    <x:row r="192" ht="19" customHeight="1">
      <x:c r="A192" s="6"/>
      <x:c r="B192" s="6"/>
      <x:c r="C192" s="6"/>
      <x:c r="D192" s="6"/>
      <x:c r="E192" s="6"/>
      <x:c r="F192" s="6"/>
      <x:c r="G192" s="6"/>
      <x:c r="H192" s="6"/>
      <x:c r="I192" s="6"/>
      <x:c r="J192" s="6"/>
      <x:c r="K192" s="6"/>
      <x:c r="L192" s="6"/>
      <x:c r="M192" s="6"/>
      <x:c r="N192" s="6"/>
      <x:c r="O192" s="6"/>
      <x:c r="P192" s="6"/>
      <x:c r="Q192" s="6"/>
    </x:row>
    <x:row r="193" ht="19" customHeight="1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  <x:c r="M193" s="6"/>
      <x:c r="N193" s="6"/>
      <x:c r="O193" s="6"/>
      <x:c r="P193" s="6"/>
      <x:c r="Q193" s="6"/>
    </x:row>
    <x:row r="194" ht="19" customHeight="1">
      <x:c r="A194" s="6"/>
      <x:c r="B194" s="6"/>
      <x:c r="C194" s="6"/>
      <x:c r="D194" s="6"/>
      <x:c r="E194" s="6"/>
      <x:c r="F194" s="6"/>
      <x:c r="G194" s="6"/>
      <x:c r="H194" s="6"/>
      <x:c r="I194" s="6"/>
      <x:c r="J194" s="6"/>
      <x:c r="K194" s="6"/>
      <x:c r="L194" s="6"/>
      <x:c r="M194" s="6"/>
      <x:c r="N194" s="6"/>
      <x:c r="O194" s="6"/>
      <x:c r="P194" s="6"/>
      <x:c r="Q194" s="6"/>
    </x:row>
    <x:row r="195" ht="19" customHeight="1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  <x:c r="M195" s="6"/>
      <x:c r="N195" s="6"/>
      <x:c r="O195" s="6"/>
      <x:c r="P195" s="6"/>
      <x:c r="Q195" s="6"/>
    </x:row>
    <x:row r="196" ht="19" customHeight="1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  <x:c r="K196" s="6"/>
      <x:c r="L196" s="6"/>
      <x:c r="M196" s="6"/>
      <x:c r="N196" s="6"/>
      <x:c r="O196" s="6"/>
      <x:c r="P196" s="6"/>
      <x:c r="Q196" s="6"/>
    </x:row>
    <x:row r="197" ht="19" customHeight="1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  <x:c r="K197" s="6"/>
      <x:c r="L197" s="6"/>
      <x:c r="M197" s="6"/>
      <x:c r="N197" s="6"/>
      <x:c r="O197" s="6"/>
      <x:c r="P197" s="6"/>
      <x:c r="Q197" s="6"/>
    </x:row>
    <x:row r="198" ht="19" customHeight="1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  <x:c r="K198" s="6"/>
      <x:c r="L198" s="6"/>
      <x:c r="M198" s="6"/>
      <x:c r="N198" s="6"/>
      <x:c r="O198" s="6"/>
      <x:c r="P198" s="6"/>
      <x:c r="Q198" s="6"/>
    </x:row>
    <x:row r="199" ht="19" customHeight="1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  <x:c r="K199" s="6"/>
      <x:c r="L199" s="6"/>
      <x:c r="M199" s="6"/>
      <x:c r="N199" s="6"/>
      <x:c r="O199" s="6"/>
      <x:c r="P199" s="6"/>
      <x:c r="Q199" s="6"/>
    </x:row>
    <x:row r="200" ht="19" customHeight="1">
      <x:c r="A200" s="6"/>
      <x:c r="B200" s="6"/>
      <x:c r="C200" s="6"/>
      <x:c r="D200" s="6"/>
      <x:c r="E200" s="6"/>
      <x:c r="F200" s="6"/>
      <x:c r="G200" s="6"/>
      <x:c r="H200" s="6"/>
      <x:c r="I200" s="6"/>
      <x:c r="J200" s="6"/>
      <x:c r="K200" s="6"/>
      <x:c r="L200" s="6"/>
      <x:c r="M200" s="6"/>
      <x:c r="N200" s="6"/>
      <x:c r="O200" s="6"/>
      <x:c r="P200" s="6"/>
      <x:c r="Q200" s="6"/>
    </x:row>
    <x:row r="201" ht="19" customHeight="1">
      <x:c r="A201" s="6"/>
      <x:c r="B201" s="6"/>
      <x:c r="C201" s="6"/>
      <x:c r="D201" s="6"/>
      <x:c r="E201" s="6"/>
      <x:c r="F201" s="6"/>
      <x:c r="G201" s="6"/>
      <x:c r="H201" s="6"/>
      <x:c r="I201" s="6"/>
      <x:c r="J201" s="6"/>
      <x:c r="K201" s="6"/>
      <x:c r="L201" s="6"/>
      <x:c r="M201" s="6"/>
      <x:c r="N201" s="6"/>
      <x:c r="O201" s="6"/>
      <x:c r="P201" s="6"/>
      <x:c r="Q201" s="6"/>
    </x:row>
    <x:row r="202" ht="19" customHeight="1">
      <x:c r="A202" s="6"/>
      <x:c r="B202" s="6"/>
      <x:c r="C202" s="6"/>
      <x:c r="D202" s="6"/>
      <x:c r="E202" s="6"/>
      <x:c r="F202" s="6"/>
      <x:c r="G202" s="6"/>
      <x:c r="H202" s="6"/>
      <x:c r="I202" s="6"/>
      <x:c r="J202" s="6"/>
      <x:c r="K202" s="6"/>
      <x:c r="L202" s="6"/>
      <x:c r="M202" s="6"/>
      <x:c r="N202" s="6"/>
      <x:c r="O202" s="6"/>
      <x:c r="P202" s="6"/>
      <x:c r="Q202" s="6"/>
    </x:row>
    <x:row r="203" ht="19" customHeight="1">
      <x:c r="A203" s="6"/>
      <x:c r="B203" s="6"/>
      <x:c r="C203" s="6"/>
      <x:c r="D203" s="6"/>
      <x:c r="E203" s="6"/>
      <x:c r="F203" s="6"/>
      <x:c r="G203" s="6"/>
      <x:c r="H203" s="6"/>
      <x:c r="I203" s="6"/>
      <x:c r="J203" s="6"/>
      <x:c r="K203" s="6"/>
      <x:c r="L203" s="6"/>
      <x:c r="M203" s="6"/>
      <x:c r="N203" s="6"/>
      <x:c r="O203" s="6"/>
      <x:c r="P203" s="6"/>
      <x:c r="Q203" s="6"/>
    </x:row>
    <x:row r="204" ht="19" customHeight="1">
      <x:c r="A204" s="6"/>
      <x:c r="B204" s="6"/>
      <x:c r="C204" s="6"/>
      <x:c r="D204" s="6"/>
      <x:c r="E204" s="6"/>
      <x:c r="F204" s="6"/>
      <x:c r="G204" s="6"/>
      <x:c r="H204" s="6"/>
      <x:c r="I204" s="6"/>
      <x:c r="J204" s="6"/>
      <x:c r="K204" s="6"/>
      <x:c r="L204" s="6"/>
      <x:c r="M204" s="6"/>
      <x:c r="N204" s="6"/>
      <x:c r="O204" s="6"/>
      <x:c r="P204" s="6"/>
      <x:c r="Q204" s="6"/>
    </x:row>
    <x:row r="205" ht="19" customHeight="1">
      <x:c r="A205" s="6"/>
      <x:c r="B205" s="6"/>
      <x:c r="C205" s="6"/>
      <x:c r="D205" s="6"/>
      <x:c r="E205" s="6"/>
      <x:c r="F205" s="6"/>
      <x:c r="G205" s="6"/>
      <x:c r="H205" s="6"/>
      <x:c r="I205" s="6"/>
      <x:c r="J205" s="6"/>
      <x:c r="K205" s="6"/>
      <x:c r="L205" s="6"/>
      <x:c r="M205" s="6"/>
      <x:c r="N205" s="6"/>
      <x:c r="O205" s="6"/>
      <x:c r="P205" s="6"/>
      <x:c r="Q205" s="6"/>
    </x:row>
    <x:row r="206" ht="19" customHeight="1">
      <x:c r="A206" s="6"/>
      <x:c r="B206" s="6"/>
      <x:c r="C206" s="6"/>
      <x:c r="D206" s="6"/>
      <x:c r="E206" s="6"/>
      <x:c r="F206" s="6"/>
      <x:c r="G206" s="6"/>
      <x:c r="H206" s="6"/>
      <x:c r="I206" s="6"/>
      <x:c r="J206" s="6"/>
      <x:c r="K206" s="6"/>
      <x:c r="L206" s="6"/>
      <x:c r="M206" s="6"/>
      <x:c r="N206" s="6"/>
      <x:c r="O206" s="6"/>
      <x:c r="P206" s="6"/>
      <x:c r="Q206" s="6"/>
    </x:row>
    <x:row r="207" ht="19" customHeight="1">
      <x:c r="A207" s="6"/>
      <x:c r="B207" s="6"/>
      <x:c r="C207" s="6"/>
      <x:c r="D207" s="6"/>
      <x:c r="E207" s="6"/>
      <x:c r="F207" s="6"/>
      <x:c r="G207" s="6"/>
      <x:c r="H207" s="6"/>
      <x:c r="I207" s="6"/>
      <x:c r="J207" s="6"/>
      <x:c r="K207" s="6"/>
      <x:c r="L207" s="6"/>
      <x:c r="M207" s="6"/>
      <x:c r="N207" s="6"/>
      <x:c r="O207" s="6"/>
      <x:c r="P207" s="6"/>
      <x:c r="Q207" s="6"/>
    </x:row>
    <x:row r="208" ht="19" customHeight="1">
      <x:c r="A208" s="6"/>
      <x:c r="B208" s="6"/>
      <x:c r="C208" s="6"/>
      <x:c r="D208" s="6"/>
      <x:c r="E208" s="6"/>
      <x:c r="F208" s="6"/>
      <x:c r="G208" s="6"/>
      <x:c r="H208" s="6"/>
      <x:c r="I208" s="6"/>
      <x:c r="J208" s="6"/>
      <x:c r="K208" s="6"/>
      <x:c r="L208" s="6"/>
      <x:c r="M208" s="6"/>
      <x:c r="N208" s="6"/>
      <x:c r="O208" s="6"/>
      <x:c r="P208" s="6"/>
      <x:c r="Q208" s="6"/>
    </x:row>
    <x:row r="209" ht="19" customHeight="1">
      <x:c r="A209" s="6"/>
      <x:c r="B209" s="6"/>
      <x:c r="C209" s="6"/>
      <x:c r="D209" s="6"/>
      <x:c r="E209" s="6"/>
      <x:c r="F209" s="6"/>
      <x:c r="G209" s="6"/>
      <x:c r="H209" s="6"/>
      <x:c r="I209" s="6"/>
      <x:c r="J209" s="6"/>
      <x:c r="K209" s="6"/>
      <x:c r="L209" s="6"/>
      <x:c r="M209" s="6"/>
      <x:c r="N209" s="6"/>
      <x:c r="O209" s="6"/>
      <x:c r="P209" s="6"/>
      <x:c r="Q209" s="6"/>
    </x:row>
    <x:row r="210" ht="19" customHeight="1">
      <x:c r="A210" s="6"/>
      <x:c r="B210" s="6"/>
      <x:c r="C210" s="6"/>
      <x:c r="D210" s="6"/>
      <x:c r="E210" s="6"/>
      <x:c r="F210" s="6"/>
      <x:c r="G210" s="6"/>
      <x:c r="H210" s="6"/>
      <x:c r="I210" s="6"/>
      <x:c r="J210" s="6"/>
      <x:c r="K210" s="6"/>
      <x:c r="L210" s="6"/>
      <x:c r="M210" s="6"/>
      <x:c r="N210" s="6"/>
      <x:c r="O210" s="6"/>
      <x:c r="P210" s="6"/>
      <x:c r="Q210" s="6"/>
    </x:row>
    <x:row r="211" ht="19" customHeight="1">
      <x:c r="A211" s="6"/>
      <x:c r="B211" s="6"/>
      <x:c r="C211" s="6"/>
      <x:c r="D211" s="6"/>
      <x:c r="E211" s="6"/>
      <x:c r="F211" s="6"/>
      <x:c r="G211" s="6"/>
      <x:c r="H211" s="6"/>
      <x:c r="I211" s="6"/>
      <x:c r="J211" s="6"/>
      <x:c r="K211" s="6"/>
      <x:c r="L211" s="6"/>
      <x:c r="M211" s="6"/>
      <x:c r="N211" s="6"/>
      <x:c r="O211" s="6"/>
      <x:c r="P211" s="6"/>
      <x:c r="Q211" s="6"/>
    </x:row>
    <x:row r="212" ht="19" customHeight="1">
      <x:c r="A212" s="6"/>
      <x:c r="B212" s="6"/>
      <x:c r="C212" s="6"/>
      <x:c r="D212" s="6"/>
      <x:c r="E212" s="6"/>
      <x:c r="F212" s="6"/>
      <x:c r="G212" s="6"/>
      <x:c r="H212" s="6"/>
      <x:c r="I212" s="6"/>
      <x:c r="J212" s="6"/>
      <x:c r="K212" s="6"/>
      <x:c r="L212" s="6"/>
      <x:c r="M212" s="6"/>
      <x:c r="N212" s="6"/>
      <x:c r="O212" s="6"/>
      <x:c r="P212" s="6"/>
      <x:c r="Q212" s="6"/>
    </x:row>
    <x:row r="213" ht="19" customHeight="1">
      <x:c r="A213" s="6"/>
      <x:c r="B213" s="6"/>
      <x:c r="C213" s="6"/>
      <x:c r="D213" s="6"/>
      <x:c r="E213" s="6"/>
      <x:c r="F213" s="6"/>
      <x:c r="G213" s="6"/>
      <x:c r="H213" s="6"/>
      <x:c r="I213" s="6"/>
      <x:c r="J213" s="6"/>
      <x:c r="K213" s="6"/>
      <x:c r="L213" s="6"/>
      <x:c r="M213" s="6"/>
      <x:c r="N213" s="6"/>
      <x:c r="O213" s="6"/>
      <x:c r="P213" s="6"/>
      <x:c r="Q213" s="6"/>
    </x:row>
    <x:row r="214" ht="19" customHeight="1">
      <x:c r="A214" s="6"/>
      <x:c r="B214" s="6"/>
      <x:c r="C214" s="6"/>
      <x:c r="D214" s="6"/>
      <x:c r="E214" s="6"/>
      <x:c r="F214" s="6"/>
      <x:c r="G214" s="6"/>
      <x:c r="H214" s="6"/>
      <x:c r="I214" s="6"/>
      <x:c r="J214" s="6"/>
      <x:c r="K214" s="6"/>
      <x:c r="L214" s="6"/>
      <x:c r="M214" s="6"/>
      <x:c r="N214" s="6"/>
      <x:c r="O214" s="6"/>
      <x:c r="P214" s="6"/>
      <x:c r="Q214" s="6"/>
    </x:row>
    <x:row r="215" ht="19" customHeight="1">
      <x:c r="A215" s="6"/>
      <x:c r="B215" s="6"/>
      <x:c r="C215" s="6"/>
      <x:c r="D215" s="6"/>
      <x:c r="E215" s="6"/>
      <x:c r="F215" s="6"/>
      <x:c r="G215" s="6"/>
      <x:c r="H215" s="6"/>
      <x:c r="I215" s="6"/>
      <x:c r="J215" s="6"/>
      <x:c r="K215" s="6"/>
      <x:c r="L215" s="6"/>
      <x:c r="M215" s="6"/>
      <x:c r="N215" s="6"/>
      <x:c r="O215" s="6"/>
      <x:c r="P215" s="6"/>
      <x:c r="Q215" s="6"/>
    </x:row>
    <x:row r="216" ht="19" customHeight="1">
      <x:c r="A216" s="6"/>
      <x:c r="B216" s="6"/>
      <x:c r="C216" s="6"/>
      <x:c r="D216" s="6"/>
      <x:c r="E216" s="6"/>
      <x:c r="F216" s="6"/>
      <x:c r="G216" s="6"/>
      <x:c r="H216" s="6"/>
      <x:c r="I216" s="6"/>
      <x:c r="J216" s="6"/>
      <x:c r="K216" s="6"/>
      <x:c r="L216" s="6"/>
      <x:c r="M216" s="6"/>
      <x:c r="N216" s="6"/>
      <x:c r="O216" s="6"/>
      <x:c r="P216" s="6"/>
      <x:c r="Q216" s="6"/>
    </x:row>
    <x:row r="217" ht="19" customHeight="1">
      <x:c r="A217" s="6"/>
      <x:c r="B217" s="6"/>
      <x:c r="C217" s="6"/>
      <x:c r="D217" s="6"/>
      <x:c r="E217" s="6"/>
      <x:c r="F217" s="6"/>
      <x:c r="G217" s="6"/>
      <x:c r="H217" s="6"/>
      <x:c r="I217" s="6"/>
      <x:c r="J217" s="6"/>
      <x:c r="K217" s="6"/>
      <x:c r="L217" s="6"/>
      <x:c r="M217" s="6"/>
      <x:c r="N217" s="6"/>
      <x:c r="O217" s="6"/>
      <x:c r="P217" s="6"/>
      <x:c r="Q217" s="6"/>
    </x:row>
    <x:row r="218" ht="19" customHeight="1">
      <x:c r="A218" s="6"/>
      <x:c r="B218" s="6"/>
      <x:c r="C218" s="6"/>
      <x:c r="D218" s="6"/>
      <x:c r="E218" s="6"/>
      <x:c r="F218" s="6"/>
      <x:c r="G218" s="6"/>
      <x:c r="H218" s="6"/>
      <x:c r="I218" s="6"/>
      <x:c r="J218" s="6"/>
      <x:c r="K218" s="6"/>
      <x:c r="L218" s="6"/>
      <x:c r="M218" s="6"/>
      <x:c r="N218" s="6"/>
      <x:c r="O218" s="6"/>
      <x:c r="P218" s="6"/>
      <x:c r="Q218" s="6"/>
    </x:row>
    <x:row r="219" ht="19" customHeight="1">
      <x:c r="A219" s="6"/>
      <x:c r="B219" s="6"/>
      <x:c r="C219" s="6"/>
      <x:c r="D219" s="6"/>
      <x:c r="E219" s="6"/>
      <x:c r="F219" s="6"/>
      <x:c r="G219" s="6"/>
      <x:c r="H219" s="6"/>
      <x:c r="I219" s="6"/>
      <x:c r="J219" s="6"/>
      <x:c r="K219" s="6"/>
      <x:c r="L219" s="6"/>
      <x:c r="M219" s="6"/>
      <x:c r="N219" s="6"/>
      <x:c r="O219" s="6"/>
      <x:c r="P219" s="6"/>
      <x:c r="Q219" s="6"/>
    </x:row>
    <x:row r="220" ht="19" customHeight="1">
      <x:c r="A220" s="6"/>
      <x:c r="B220" s="6"/>
      <x:c r="C220" s="6"/>
      <x:c r="D220" s="6"/>
      <x:c r="E220" s="6"/>
      <x:c r="F220" s="6"/>
      <x:c r="G220" s="6"/>
      <x:c r="H220" s="6"/>
      <x:c r="I220" s="6"/>
      <x:c r="J220" s="6"/>
      <x:c r="K220" s="6"/>
      <x:c r="L220" s="6"/>
      <x:c r="M220" s="6"/>
      <x:c r="N220" s="6"/>
      <x:c r="O220" s="6"/>
      <x:c r="P220" s="6"/>
      <x:c r="Q220" s="6"/>
    </x:row>
    <x:row r="221" ht="19" customHeight="1">
      <x:c r="A221" s="6"/>
      <x:c r="B221" s="6"/>
      <x:c r="C221" s="6"/>
      <x:c r="D221" s="6"/>
      <x:c r="E221" s="6"/>
      <x:c r="F221" s="6"/>
      <x:c r="G221" s="6"/>
      <x:c r="H221" s="6"/>
      <x:c r="I221" s="6"/>
      <x:c r="J221" s="6"/>
      <x:c r="K221" s="6"/>
      <x:c r="L221" s="6"/>
      <x:c r="M221" s="6"/>
      <x:c r="N221" s="6"/>
      <x:c r="O221" s="6"/>
      <x:c r="P221" s="6"/>
      <x:c r="Q221" s="6"/>
    </x:row>
    <x:row r="222" ht="19" customHeight="1">
      <x:c r="A222" s="6"/>
      <x:c r="B222" s="6"/>
      <x:c r="C222" s="6"/>
      <x:c r="D222" s="6"/>
      <x:c r="E222" s="6"/>
      <x:c r="F222" s="6"/>
      <x:c r="G222" s="6"/>
      <x:c r="H222" s="6"/>
      <x:c r="I222" s="6"/>
      <x:c r="J222" s="6"/>
      <x:c r="K222" s="6"/>
      <x:c r="L222" s="6"/>
      <x:c r="M222" s="6"/>
      <x:c r="N222" s="6"/>
      <x:c r="O222" s="6"/>
      <x:c r="P222" s="6"/>
      <x:c r="Q222" s="6"/>
    </x:row>
    <x:row r="223" ht="19" customHeight="1">
      <x:c r="A223" s="6"/>
      <x:c r="B223" s="6"/>
      <x:c r="C223" s="6"/>
      <x:c r="D223" s="6"/>
      <x:c r="E223" s="6"/>
      <x:c r="F223" s="6"/>
      <x:c r="G223" s="6"/>
      <x:c r="H223" s="6"/>
      <x:c r="I223" s="6"/>
      <x:c r="J223" s="6"/>
      <x:c r="K223" s="6"/>
      <x:c r="L223" s="6"/>
      <x:c r="M223" s="6"/>
      <x:c r="N223" s="6"/>
      <x:c r="O223" s="6"/>
      <x:c r="P223" s="6"/>
      <x:c r="Q223" s="6"/>
    </x:row>
    <x:row r="224" ht="19" customHeight="1">
      <x:c r="A224" s="6"/>
      <x:c r="B224" s="6"/>
      <x:c r="C224" s="6"/>
      <x:c r="D224" s="6"/>
      <x:c r="E224" s="6"/>
      <x:c r="F224" s="6"/>
      <x:c r="G224" s="6"/>
      <x:c r="H224" s="6"/>
      <x:c r="I224" s="6"/>
      <x:c r="J224" s="6"/>
      <x:c r="K224" s="6"/>
      <x:c r="L224" s="6"/>
      <x:c r="M224" s="6"/>
      <x:c r="N224" s="6"/>
      <x:c r="O224" s="6"/>
      <x:c r="P224" s="6"/>
      <x:c r="Q224" s="6"/>
    </x:row>
    <x:row r="225" ht="19" customHeight="1">
      <x:c r="A225" s="6"/>
      <x:c r="B225" s="6"/>
      <x:c r="C225" s="6"/>
      <x:c r="D225" s="6"/>
      <x:c r="E225" s="6"/>
      <x:c r="F225" s="6"/>
      <x:c r="G225" s="6"/>
      <x:c r="H225" s="6"/>
      <x:c r="I225" s="6"/>
      <x:c r="J225" s="6"/>
      <x:c r="K225" s="6"/>
      <x:c r="L225" s="6"/>
      <x:c r="M225" s="6"/>
      <x:c r="N225" s="6"/>
      <x:c r="O225" s="6"/>
      <x:c r="P225" s="6"/>
      <x:c r="Q225" s="6"/>
    </x:row>
    <x:row r="226" ht="19" customHeight="1">
      <x:c r="A226" s="6"/>
      <x:c r="B226" s="6"/>
      <x:c r="C226" s="6"/>
      <x:c r="D226" s="6"/>
      <x:c r="E226" s="6"/>
      <x:c r="F226" s="6"/>
      <x:c r="G226" s="6"/>
      <x:c r="H226" s="6"/>
      <x:c r="I226" s="6"/>
      <x:c r="J226" s="6"/>
      <x:c r="K226" s="6"/>
      <x:c r="L226" s="6"/>
      <x:c r="M226" s="6"/>
      <x:c r="N226" s="6"/>
      <x:c r="O226" s="6"/>
      <x:c r="P226" s="6"/>
      <x:c r="Q226" s="6"/>
    </x:row>
    <x:row r="227" ht="19" customHeight="1">
      <x:c r="A227" s="6"/>
      <x:c r="B227" s="6"/>
      <x:c r="C227" s="6"/>
      <x:c r="D227" s="6"/>
      <x:c r="E227" s="6"/>
      <x:c r="F227" s="6"/>
      <x:c r="G227" s="6"/>
      <x:c r="H227" s="6"/>
      <x:c r="I227" s="6"/>
      <x:c r="J227" s="6"/>
      <x:c r="K227" s="6"/>
      <x:c r="L227" s="6"/>
      <x:c r="M227" s="6"/>
      <x:c r="N227" s="6"/>
      <x:c r="O227" s="6"/>
      <x:c r="P227" s="6"/>
      <x:c r="Q227" s="6"/>
    </x:row>
    <x:row r="228" ht="19" customHeight="1">
      <x:c r="A228" s="6"/>
      <x:c r="B228" s="6"/>
      <x:c r="C228" s="6"/>
      <x:c r="D228" s="6"/>
      <x:c r="E228" s="6"/>
      <x:c r="F228" s="6"/>
      <x:c r="G228" s="6"/>
      <x:c r="H228" s="6"/>
      <x:c r="I228" s="6"/>
      <x:c r="J228" s="6"/>
      <x:c r="K228" s="6"/>
      <x:c r="L228" s="6"/>
      <x:c r="M228" s="6"/>
      <x:c r="N228" s="6"/>
      <x:c r="O228" s="6"/>
      <x:c r="P228" s="6"/>
      <x:c r="Q228" s="6"/>
    </x:row>
    <x:row r="229" ht="19" customHeight="1">
      <x:c r="A229" s="6"/>
      <x:c r="B229" s="6"/>
      <x:c r="C229" s="6"/>
      <x:c r="D229" s="6"/>
      <x:c r="E229" s="6"/>
      <x:c r="F229" s="6"/>
      <x:c r="G229" s="6"/>
      <x:c r="H229" s="6"/>
      <x:c r="I229" s="6"/>
      <x:c r="J229" s="6"/>
      <x:c r="K229" s="6"/>
      <x:c r="L229" s="6"/>
      <x:c r="M229" s="6"/>
      <x:c r="N229" s="6"/>
      <x:c r="O229" s="6"/>
      <x:c r="P229" s="6"/>
      <x:c r="Q229" s="6"/>
    </x:row>
    <x:row r="230" ht="19" customHeight="1">
      <x:c r="A230" s="6"/>
      <x:c r="B230" s="6"/>
      <x:c r="C230" s="6"/>
      <x:c r="D230" s="6"/>
      <x:c r="E230" s="6"/>
      <x:c r="F230" s="6"/>
      <x:c r="G230" s="6"/>
      <x:c r="H230" s="6"/>
      <x:c r="I230" s="6"/>
      <x:c r="J230" s="6"/>
      <x:c r="K230" s="6"/>
      <x:c r="L230" s="6"/>
      <x:c r="M230" s="6"/>
      <x:c r="N230" s="6"/>
      <x:c r="O230" s="6"/>
      <x:c r="P230" s="6"/>
      <x:c r="Q230" s="6"/>
    </x:row>
    <x:row r="231" ht="19" customHeight="1">
      <x:c r="A231" s="6"/>
      <x:c r="B231" s="6"/>
      <x:c r="C231" s="6"/>
      <x:c r="D231" s="6"/>
      <x:c r="E231" s="6"/>
      <x:c r="F231" s="6"/>
      <x:c r="G231" s="6"/>
      <x:c r="H231" s="6"/>
      <x:c r="I231" s="6"/>
      <x:c r="J231" s="6"/>
      <x:c r="K231" s="6"/>
      <x:c r="L231" s="6"/>
      <x:c r="M231" s="6"/>
      <x:c r="N231" s="6"/>
      <x:c r="O231" s="6"/>
      <x:c r="P231" s="6"/>
      <x:c r="Q231" s="6"/>
    </x:row>
    <x:row r="232" ht="19" customHeight="1">
      <x:c r="A232" s="6"/>
      <x:c r="B232" s="6"/>
      <x:c r="C232" s="6"/>
      <x:c r="D232" s="6"/>
      <x:c r="E232" s="6"/>
      <x:c r="F232" s="6"/>
      <x:c r="G232" s="6"/>
      <x:c r="H232" s="6"/>
      <x:c r="I232" s="6"/>
      <x:c r="J232" s="6"/>
      <x:c r="K232" s="6"/>
      <x:c r="L232" s="6"/>
      <x:c r="M232" s="6"/>
      <x:c r="N232" s="6"/>
      <x:c r="O232" s="6"/>
      <x:c r="P232" s="6"/>
      <x:c r="Q232" s="6"/>
    </x:row>
    <x:row r="233" ht="19" customHeight="1">
      <x:c r="A233" s="6"/>
      <x:c r="B233" s="6"/>
      <x:c r="C233" s="6"/>
      <x:c r="D233" s="6"/>
      <x:c r="E233" s="6"/>
      <x:c r="F233" s="6"/>
      <x:c r="G233" s="6"/>
      <x:c r="H233" s="6"/>
      <x:c r="I233" s="6"/>
      <x:c r="J233" s="6"/>
      <x:c r="K233" s="6"/>
      <x:c r="L233" s="6"/>
      <x:c r="M233" s="6"/>
      <x:c r="N233" s="6"/>
      <x:c r="O233" s="6"/>
      <x:c r="P233" s="6"/>
      <x:c r="Q233" s="6"/>
    </x:row>
    <x:row r="234" ht="19" customHeight="1">
      <x:c r="A234" s="6"/>
      <x:c r="B234" s="6"/>
      <x:c r="C234" s="6"/>
      <x:c r="D234" s="6"/>
      <x:c r="E234" s="6"/>
      <x:c r="F234" s="6"/>
      <x:c r="G234" s="6"/>
      <x:c r="H234" s="6"/>
      <x:c r="I234" s="6"/>
      <x:c r="J234" s="6"/>
      <x:c r="K234" s="6"/>
      <x:c r="L234" s="6"/>
      <x:c r="M234" s="6"/>
      <x:c r="N234" s="6"/>
      <x:c r="O234" s="6"/>
      <x:c r="P234" s="6"/>
      <x:c r="Q234" s="6"/>
    </x:row>
    <x:row r="235" ht="19" customHeight="1">
      <x:c r="A235" s="6"/>
      <x:c r="B235" s="6"/>
      <x:c r="C235" s="6"/>
      <x:c r="D235" s="6"/>
      <x:c r="E235" s="6"/>
      <x:c r="F235" s="6"/>
      <x:c r="G235" s="6"/>
      <x:c r="H235" s="6"/>
      <x:c r="I235" s="6"/>
      <x:c r="J235" s="6"/>
      <x:c r="K235" s="6"/>
      <x:c r="L235" s="6"/>
      <x:c r="M235" s="6"/>
      <x:c r="N235" s="6"/>
      <x:c r="O235" s="6"/>
      <x:c r="P235" s="6"/>
      <x:c r="Q235" s="6"/>
    </x:row>
    <x:row r="236" ht="19" customHeight="1">
      <x:c r="A236" s="6"/>
      <x:c r="B236" s="6"/>
      <x:c r="C236" s="6"/>
      <x:c r="D236" s="6"/>
      <x:c r="E236" s="6"/>
      <x:c r="F236" s="6"/>
      <x:c r="G236" s="6"/>
      <x:c r="H236" s="6"/>
      <x:c r="I236" s="6"/>
      <x:c r="J236" s="6"/>
      <x:c r="K236" s="6"/>
      <x:c r="L236" s="6"/>
      <x:c r="M236" s="6"/>
      <x:c r="N236" s="6"/>
      <x:c r="O236" s="6"/>
      <x:c r="P236" s="6"/>
      <x:c r="Q236" s="6"/>
    </x:row>
    <x:row r="237" ht="19" customHeight="1">
      <x:c r="A237" s="6"/>
      <x:c r="B237" s="6"/>
      <x:c r="C237" s="6"/>
      <x:c r="D237" s="6"/>
      <x:c r="E237" s="6"/>
      <x:c r="F237" s="6"/>
      <x:c r="G237" s="6"/>
      <x:c r="H237" s="6"/>
      <x:c r="I237" s="6"/>
      <x:c r="J237" s="6"/>
      <x:c r="K237" s="6"/>
      <x:c r="L237" s="6"/>
      <x:c r="M237" s="6"/>
      <x:c r="N237" s="6"/>
      <x:c r="O237" s="6"/>
      <x:c r="P237" s="6"/>
      <x:c r="Q237" s="6"/>
    </x:row>
    <x:row r="238" ht="19" customHeight="1">
      <x:c r="A238" s="6"/>
      <x:c r="B238" s="6"/>
      <x:c r="C238" s="6"/>
      <x:c r="D238" s="6"/>
      <x:c r="E238" s="6"/>
      <x:c r="F238" s="6"/>
      <x:c r="G238" s="6"/>
      <x:c r="H238" s="6"/>
      <x:c r="I238" s="6"/>
      <x:c r="J238" s="6"/>
      <x:c r="K238" s="6"/>
      <x:c r="L238" s="6"/>
      <x:c r="M238" s="6"/>
      <x:c r="N238" s="6"/>
      <x:c r="O238" s="6"/>
      <x:c r="P238" s="6"/>
      <x:c r="Q238" s="6"/>
    </x:row>
    <x:row r="239" ht="19" customHeight="1">
      <x:c r="A239" s="6"/>
      <x:c r="B239" s="6"/>
      <x:c r="C239" s="6"/>
      <x:c r="D239" s="6"/>
      <x:c r="E239" s="6"/>
      <x:c r="F239" s="6"/>
      <x:c r="G239" s="6"/>
      <x:c r="H239" s="6"/>
      <x:c r="I239" s="6"/>
      <x:c r="J239" s="6"/>
      <x:c r="K239" s="6"/>
      <x:c r="L239" s="6"/>
      <x:c r="M239" s="6"/>
      <x:c r="N239" s="6"/>
      <x:c r="O239" s="6"/>
      <x:c r="P239" s="6"/>
      <x:c r="Q239" s="6"/>
    </x:row>
    <x:row r="240" ht="19" customHeight="1">
      <x:c r="A240" s="6"/>
      <x:c r="B240" s="6"/>
      <x:c r="C240" s="6"/>
      <x:c r="D240" s="6"/>
      <x:c r="E240" s="6"/>
      <x:c r="F240" s="6"/>
      <x:c r="G240" s="6"/>
      <x:c r="H240" s="6"/>
      <x:c r="I240" s="6"/>
      <x:c r="J240" s="6"/>
      <x:c r="K240" s="6"/>
      <x:c r="L240" s="6"/>
      <x:c r="M240" s="6"/>
      <x:c r="N240" s="6"/>
      <x:c r="O240" s="6"/>
      <x:c r="P240" s="6"/>
      <x:c r="Q240" s="6"/>
    </x:row>
    <x:row r="241" ht="19" customHeight="1">
      <x:c r="A241" s="6"/>
      <x:c r="B241" s="6"/>
      <x:c r="C241" s="6"/>
      <x:c r="D241" s="6"/>
      <x:c r="E241" s="6"/>
      <x:c r="F241" s="6"/>
      <x:c r="G241" s="6"/>
      <x:c r="H241" s="6"/>
      <x:c r="I241" s="6"/>
      <x:c r="J241" s="6"/>
      <x:c r="K241" s="6"/>
      <x:c r="L241" s="6"/>
      <x:c r="M241" s="6"/>
      <x:c r="N241" s="6"/>
      <x:c r="O241" s="6"/>
      <x:c r="P241" s="6"/>
      <x:c r="Q241" s="6"/>
    </x:row>
    <x:row r="242" ht="19" customHeight="1">
      <x:c r="A242" s="6"/>
      <x:c r="B242" s="6"/>
      <x:c r="C242" s="6"/>
      <x:c r="D242" s="6"/>
      <x:c r="E242" s="6"/>
      <x:c r="F242" s="6"/>
      <x:c r="G242" s="6"/>
      <x:c r="H242" s="6"/>
      <x:c r="I242" s="6"/>
      <x:c r="J242" s="6"/>
      <x:c r="K242" s="6"/>
      <x:c r="L242" s="6"/>
      <x:c r="M242" s="6"/>
      <x:c r="N242" s="6"/>
      <x:c r="O242" s="6"/>
      <x:c r="P242" s="6"/>
      <x:c r="Q242" s="6"/>
    </x:row>
    <x:row r="243" ht="19" customHeight="1">
      <x:c r="A243" s="6"/>
      <x:c r="B243" s="6"/>
      <x:c r="C243" s="6"/>
      <x:c r="D243" s="6"/>
      <x:c r="E243" s="6"/>
      <x:c r="F243" s="6"/>
      <x:c r="G243" s="6"/>
      <x:c r="H243" s="6"/>
      <x:c r="I243" s="6"/>
      <x:c r="J243" s="6"/>
      <x:c r="K243" s="6"/>
      <x:c r="L243" s="6"/>
      <x:c r="M243" s="6"/>
      <x:c r="N243" s="6"/>
      <x:c r="O243" s="6"/>
      <x:c r="P243" s="6"/>
      <x:c r="Q243" s="6"/>
    </x:row>
    <x:row r="244" ht="19" customHeight="1">
      <x:c r="A244" s="6"/>
      <x:c r="B244" s="6"/>
      <x:c r="C244" s="6"/>
      <x:c r="D244" s="6"/>
      <x:c r="E244" s="6"/>
      <x:c r="F244" s="6"/>
      <x:c r="G244" s="6"/>
      <x:c r="H244" s="6"/>
      <x:c r="I244" s="6"/>
      <x:c r="J244" s="6"/>
      <x:c r="K244" s="6"/>
      <x:c r="L244" s="6"/>
      <x:c r="M244" s="6"/>
      <x:c r="N244" s="6"/>
      <x:c r="O244" s="6"/>
      <x:c r="P244" s="6"/>
      <x:c r="Q244" s="6"/>
    </x:row>
    <x:row r="245" ht="19" customHeight="1">
      <x:c r="A245" s="6"/>
      <x:c r="B245" s="6"/>
      <x:c r="C245" s="6"/>
      <x:c r="D245" s="6"/>
      <x:c r="E245" s="6"/>
      <x:c r="F245" s="6"/>
      <x:c r="G245" s="6"/>
      <x:c r="H245" s="6"/>
      <x:c r="I245" s="6"/>
      <x:c r="J245" s="6"/>
      <x:c r="K245" s="6"/>
      <x:c r="L245" s="6"/>
      <x:c r="M245" s="6"/>
      <x:c r="N245" s="6"/>
      <x:c r="O245" s="6"/>
      <x:c r="P245" s="6"/>
      <x:c r="Q245" s="6"/>
    </x:row>
    <x:row r="246" ht="19" customHeight="1">
      <x:c r="A246" s="6"/>
      <x:c r="B246" s="6"/>
      <x:c r="C246" s="6"/>
      <x:c r="D246" s="6"/>
      <x:c r="E246" s="6"/>
      <x:c r="F246" s="6"/>
      <x:c r="G246" s="6"/>
      <x:c r="H246" s="6"/>
      <x:c r="I246" s="6"/>
      <x:c r="J246" s="6"/>
      <x:c r="K246" s="6"/>
      <x:c r="L246" s="6"/>
      <x:c r="M246" s="6"/>
      <x:c r="N246" s="6"/>
      <x:c r="O246" s="6"/>
      <x:c r="P246" s="6"/>
      <x:c r="Q246" s="6"/>
    </x:row>
    <x:row r="247" ht="19" customHeight="1">
      <x:c r="A247" s="6"/>
      <x:c r="B247" s="6"/>
      <x:c r="C247" s="6"/>
      <x:c r="D247" s="6"/>
      <x:c r="E247" s="6"/>
      <x:c r="F247" s="6"/>
      <x:c r="G247" s="6"/>
      <x:c r="H247" s="6"/>
      <x:c r="I247" s="6"/>
      <x:c r="J247" s="6"/>
      <x:c r="K247" s="6"/>
      <x:c r="L247" s="6"/>
      <x:c r="M247" s="6"/>
      <x:c r="N247" s="6"/>
      <x:c r="O247" s="6"/>
      <x:c r="P247" s="6"/>
      <x:c r="Q247" s="6"/>
    </x:row>
    <x:row r="248" ht="19" customHeight="1">
      <x:c r="A248" s="6"/>
      <x:c r="B248" s="6"/>
      <x:c r="C248" s="6"/>
      <x:c r="D248" s="6"/>
      <x:c r="E248" s="6"/>
      <x:c r="F248" s="6"/>
      <x:c r="G248" s="6"/>
      <x:c r="H248" s="6"/>
      <x:c r="I248" s="6"/>
      <x:c r="J248" s="6"/>
      <x:c r="K248" s="6"/>
      <x:c r="L248" s="6"/>
      <x:c r="M248" s="6"/>
      <x:c r="N248" s="6"/>
      <x:c r="O248" s="6"/>
      <x:c r="P248" s="6"/>
      <x:c r="Q248" s="6"/>
    </x:row>
    <x:row r="249" ht="19" customHeight="1">
      <x:c r="A249" s="6"/>
      <x:c r="B249" s="6"/>
      <x:c r="C249" s="6"/>
      <x:c r="D249" s="6"/>
      <x:c r="E249" s="6"/>
      <x:c r="F249" s="6"/>
      <x:c r="G249" s="6"/>
      <x:c r="H249" s="6"/>
      <x:c r="I249" s="6"/>
      <x:c r="J249" s="6"/>
      <x:c r="K249" s="6"/>
      <x:c r="L249" s="6"/>
      <x:c r="M249" s="6"/>
      <x:c r="N249" s="6"/>
      <x:c r="O249" s="6"/>
      <x:c r="P249" s="6"/>
      <x:c r="Q249" s="6"/>
    </x:row>
    <x:row r="250" ht="19" customHeight="1">
      <x:c r="A250" s="6"/>
      <x:c r="B250" s="6"/>
      <x:c r="C250" s="6"/>
      <x:c r="D250" s="6"/>
      <x:c r="E250" s="6"/>
      <x:c r="F250" s="6"/>
      <x:c r="G250" s="6"/>
      <x:c r="H250" s="6"/>
      <x:c r="I250" s="6"/>
      <x:c r="J250" s="6"/>
      <x:c r="K250" s="6"/>
      <x:c r="L250" s="6"/>
      <x:c r="M250" s="6"/>
      <x:c r="N250" s="6"/>
      <x:c r="O250" s="6"/>
      <x:c r="P250" s="6"/>
      <x:c r="Q250" s="6"/>
    </x:row>
    <x:row r="251" ht="19" customHeight="1">
      <x:c r="A251" s="6"/>
      <x:c r="B251" s="6"/>
      <x:c r="C251" s="6"/>
      <x:c r="D251" s="6"/>
      <x:c r="E251" s="6"/>
      <x:c r="F251" s="6"/>
      <x:c r="G251" s="6"/>
      <x:c r="H251" s="6"/>
      <x:c r="I251" s="6"/>
      <x:c r="J251" s="6"/>
      <x:c r="K251" s="6"/>
      <x:c r="L251" s="6"/>
      <x:c r="M251" s="6"/>
      <x:c r="N251" s="6"/>
      <x:c r="O251" s="6"/>
      <x:c r="P251" s="6"/>
      <x:c r="Q251" s="6"/>
    </x:row>
    <x:row r="252" ht="19" customHeight="1">
      <x:c r="A252" s="6"/>
      <x:c r="B252" s="6"/>
      <x:c r="C252" s="6"/>
      <x:c r="D252" s="6"/>
      <x:c r="E252" s="6"/>
      <x:c r="F252" s="6"/>
      <x:c r="G252" s="6"/>
      <x:c r="H252" s="6"/>
      <x:c r="I252" s="6"/>
      <x:c r="J252" s="6"/>
      <x:c r="K252" s="6"/>
      <x:c r="L252" s="6"/>
      <x:c r="M252" s="6"/>
      <x:c r="N252" s="6"/>
      <x:c r="O252" s="6"/>
      <x:c r="P252" s="6"/>
      <x:c r="Q252" s="6"/>
    </x:row>
    <x:row r="253" ht="19" customHeight="1">
      <x:c r="A253" s="6"/>
      <x:c r="B253" s="6"/>
      <x:c r="C253" s="6"/>
      <x:c r="D253" s="6"/>
      <x:c r="E253" s="6"/>
      <x:c r="F253" s="6"/>
      <x:c r="G253" s="6"/>
      <x:c r="H253" s="6"/>
      <x:c r="I253" s="6"/>
      <x:c r="J253" s="6"/>
      <x:c r="K253" s="6"/>
      <x:c r="L253" s="6"/>
      <x:c r="M253" s="6"/>
      <x:c r="N253" s="6"/>
      <x:c r="O253" s="6"/>
      <x:c r="P253" s="6"/>
      <x:c r="Q253" s="6"/>
    </x:row>
    <x:row r="254" ht="19" customHeight="1">
      <x:c r="A254" s="6"/>
      <x:c r="B254" s="6"/>
      <x:c r="C254" s="6"/>
      <x:c r="D254" s="6"/>
      <x:c r="E254" s="6"/>
      <x:c r="F254" s="6"/>
      <x:c r="G254" s="6"/>
      <x:c r="H254" s="6"/>
      <x:c r="I254" s="6"/>
      <x:c r="J254" s="6"/>
      <x:c r="K254" s="6"/>
      <x:c r="L254" s="6"/>
      <x:c r="M254" s="6"/>
      <x:c r="N254" s="6"/>
      <x:c r="O254" s="6"/>
      <x:c r="P254" s="6"/>
      <x:c r="Q254" s="6"/>
    </x:row>
    <x:row r="255" ht="19" customHeight="1">
      <x:c r="A255" s="6"/>
      <x:c r="B255" s="6"/>
      <x:c r="C255" s="6"/>
      <x:c r="D255" s="6"/>
      <x:c r="E255" s="6"/>
      <x:c r="F255" s="6"/>
      <x:c r="G255" s="6"/>
      <x:c r="H255" s="6"/>
      <x:c r="I255" s="6"/>
      <x:c r="J255" s="6"/>
      <x:c r="K255" s="6"/>
      <x:c r="L255" s="6"/>
      <x:c r="M255" s="6"/>
      <x:c r="N255" s="6"/>
      <x:c r="O255" s="6"/>
      <x:c r="P255" s="6"/>
      <x:c r="Q255" s="6"/>
    </x:row>
    <x:row r="256" ht="19" customHeight="1">
      <x:c r="A256" s="6"/>
      <x:c r="B256" s="6"/>
      <x:c r="C256" s="6"/>
      <x:c r="D256" s="6"/>
      <x:c r="E256" s="6"/>
      <x:c r="F256" s="6"/>
      <x:c r="G256" s="6"/>
      <x:c r="H256" s="6"/>
      <x:c r="I256" s="6"/>
      <x:c r="J256" s="6"/>
      <x:c r="K256" s="6"/>
      <x:c r="L256" s="6"/>
      <x:c r="M256" s="6"/>
      <x:c r="N256" s="6"/>
      <x:c r="O256" s="6"/>
      <x:c r="P256" s="6"/>
      <x:c r="Q256" s="6"/>
    </x:row>
    <x:row r="257" ht="19" customHeight="1">
      <x:c r="A257" s="6"/>
      <x:c r="B257" s="6"/>
      <x:c r="C257" s="6"/>
      <x:c r="D257" s="6"/>
      <x:c r="E257" s="6"/>
      <x:c r="F257" s="6"/>
      <x:c r="G257" s="6"/>
      <x:c r="H257" s="6"/>
      <x:c r="I257" s="6"/>
      <x:c r="J257" s="6"/>
      <x:c r="K257" s="6"/>
      <x:c r="L257" s="6"/>
      <x:c r="M257" s="6"/>
      <x:c r="N257" s="6"/>
      <x:c r="O257" s="6"/>
      <x:c r="P257" s="6"/>
      <x:c r="Q257" s="6"/>
    </x:row>
    <x:row r="258" ht="19" customHeight="1">
      <x:c r="A258" s="6"/>
      <x:c r="B258" s="6"/>
      <x:c r="C258" s="6"/>
      <x:c r="D258" s="6"/>
      <x:c r="E258" s="6"/>
      <x:c r="F258" s="6"/>
      <x:c r="G258" s="6"/>
      <x:c r="H258" s="6"/>
      <x:c r="I258" s="6"/>
      <x:c r="J258" s="6"/>
      <x:c r="K258" s="6"/>
      <x:c r="L258" s="6"/>
      <x:c r="M258" s="6"/>
      <x:c r="N258" s="6"/>
      <x:c r="O258" s="6"/>
      <x:c r="P258" s="6"/>
      <x:c r="Q258" s="6"/>
    </x:row>
    <x:row r="259" ht="19" customHeight="1">
      <x:c r="A259" s="6"/>
      <x:c r="B259" s="6"/>
      <x:c r="C259" s="6"/>
      <x:c r="D259" s="6"/>
      <x:c r="E259" s="6"/>
      <x:c r="F259" s="6"/>
      <x:c r="G259" s="6"/>
      <x:c r="H259" s="6"/>
      <x:c r="I259" s="6"/>
      <x:c r="J259" s="6"/>
      <x:c r="K259" s="6"/>
      <x:c r="L259" s="6"/>
      <x:c r="M259" s="6"/>
      <x:c r="N259" s="6"/>
      <x:c r="O259" s="6"/>
      <x:c r="P259" s="6"/>
      <x:c r="Q259" s="6"/>
    </x:row>
    <x:row r="260" ht="19" customHeight="1">
      <x:c r="A260" s="6"/>
      <x:c r="B260" s="6"/>
      <x:c r="C260" s="6"/>
      <x:c r="D260" s="6"/>
      <x:c r="E260" s="6"/>
      <x:c r="F260" s="6"/>
      <x:c r="G260" s="6"/>
      <x:c r="H260" s="6"/>
      <x:c r="I260" s="6"/>
      <x:c r="J260" s="6"/>
      <x:c r="K260" s="6"/>
      <x:c r="L260" s="6"/>
      <x:c r="M260" s="6"/>
      <x:c r="N260" s="6"/>
      <x:c r="O260" s="6"/>
      <x:c r="P260" s="6"/>
      <x:c r="Q260" s="6"/>
    </x:row>
  </x:sheetData>
  <x:mergeCells>
    <x:mergeCell ref="A1:I2"/>
    <x:mergeCell ref="A3:I3"/>
    <x:mergeCell ref="A5:I5"/>
    <x:mergeCell ref="A18:I18"/>
    <x:mergeCell ref="A31:I31"/>
    <x:mergeCell ref="A44:I44"/>
    <x:mergeCell ref="A57:I57"/>
    <x:mergeCell ref="A70:I70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8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4" hidden="0" customWidth="1"/>
    <x:col min="7" max="7" width="14" hidden="0" customWidth="1"/>
    <x:col min="8" max="8" width="16" hidden="0" customWidth="1"/>
    <x:col min="9" max="9" width="14" hidden="0" customWidth="1"/>
  </x:cols>
  <x:sheetData>
    <x:row r="1" ht="24" customHeight="1">
      <x:c r="A1" s="10" t="str">
        <x:v>Аудит: индивидуальные матрицы 3 экспертов</x:v>
      </x:c>
      <x:c r="B1" s="10"/>
      <x:c r="C1" s="10"/>
      <x:c r="D1" s="10"/>
      <x:c r="E1" s="10"/>
      <x:c r="F1" s="10"/>
      <x:c r="G1" s="10"/>
      <x:c r="H1" s="10"/>
      <x:c r="I1" s="10"/>
      <x:c r="J1" s="6"/>
      <x:c r="K1" s="6"/>
      <x:c r="L1" s="6"/>
      <x:c r="M1" s="6"/>
      <x:c r="N1" s="6"/>
      <x:c r="O1" s="6"/>
      <x:c r="P1" s="6"/>
      <x:c r="Q1" s="6"/>
    </x:row>
    <x:row r="2" ht="24" customHeight="1">
      <x:c r="A2" s="10"/>
      <x:c r="B2" s="10"/>
      <x:c r="C2" s="10"/>
      <x:c r="D2" s="10"/>
      <x:c r="E2" s="10"/>
      <x:c r="F2" s="10"/>
      <x:c r="G2" s="10"/>
      <x:c r="H2" s="10"/>
      <x:c r="I2" s="10"/>
      <x:c r="J2" s="6"/>
      <x:c r="K2" s="6"/>
      <x:c r="L2" s="6"/>
      <x:c r="M2" s="6"/>
      <x:c r="N2" s="6"/>
      <x:c r="O2" s="6"/>
      <x:c r="P2" s="6"/>
      <x:c r="Q2" s="6"/>
    </x:row>
    <x:row r="3" ht="19" customHeight="1">
      <x:c r="A3" s="6" t="str">
        <x:v>Каждая матрица строится из собственных суждений участника. CR должен быть не выше 0,10.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</x:row>
    <x:row r="4" ht="19" customHeight="1">
      <x:c r="A4" s="6"/>
      <x:c r="B4" s="6"/>
      <x:c r="C4" s="6"/>
      <x:c r="D4" s="6"/>
      <x:c r="E4" s="6"/>
      <x:c r="F4" s="6"/>
      <x:c r="G4" s="6"/>
      <x:c r="H4" s="6"/>
      <x:c r="I4" s="6"/>
      <x:c r="J4" s="6"/>
      <x:c r="K4" s="6"/>
      <x:c r="L4" s="6"/>
      <x:c r="M4" s="6"/>
      <x:c r="N4" s="6"/>
      <x:c r="O4" s="6"/>
      <x:c r="P4" s="6"/>
      <x:c r="Q4" s="6"/>
    </x:row>
    <x:row r="5" ht="26" customHeight="1">
      <x:c r="A5" s="25" t="str">
        <x:v>Участник 1 | Критерии K1–K5</x:v>
      </x:c>
      <x:c r="B5" s="25"/>
      <x:c r="C5" s="25"/>
      <x:c r="D5" s="25"/>
      <x:c r="E5" s="25"/>
      <x:c r="F5" s="25"/>
      <x:c r="G5" s="25"/>
      <x:c r="H5" s="25"/>
      <x:c r="I5" s="25"/>
      <x:c r="J5" s="6"/>
      <x:c r="K5" s="6"/>
      <x:c r="L5" s="6"/>
      <x:c r="M5" s="6"/>
      <x:c r="N5" s="6"/>
      <x:c r="O5" s="6"/>
      <x:c r="P5" s="6"/>
      <x:c r="Q5" s="6"/>
    </x:row>
    <x:row r="6" ht="30" customHeight="1">
      <x:c r="A6" s="17" t="str">
        <x:v>Объект</x:v>
      </x:c>
      <x:c r="B6" s="17" t="str">
        <x:v>K1</x:v>
      </x:c>
      <x:c r="C6" s="17" t="str">
        <x:v>K2</x:v>
      </x:c>
      <x:c r="D6" s="17" t="str">
        <x:v>K3</x:v>
      </x:c>
      <x:c r="E6" s="17" t="str">
        <x:v>K4</x:v>
      </x:c>
      <x:c r="F6" s="17" t="str">
        <x:v>K5</x:v>
      </x:c>
      <x:c r="G6" s="17" t="str">
        <x:v>Геом.</x:v>
      </x:c>
      <x:c r="H6" s="17" t="str">
        <x:v>Приоритет</x:v>
      </x:c>
      <x:c r="I6" s="17" t="str">
        <x:v>(Aw)/w</x:v>
      </x:c>
      <x:c r="J6" s="6"/>
      <x:c r="K6" s="6"/>
      <x:c r="L6" s="6"/>
      <x:c r="M6" s="6"/>
      <x:c r="N6" s="6"/>
      <x:c r="O6" s="6"/>
      <x:c r="P6" s="6"/>
      <x:c r="Q6" s="6"/>
    </x:row>
    <x:row r="7" ht="19" customHeight="1">
      <x:c r="A7" s="6" t="str">
        <x:v>K1</x:v>
      </x:c>
      <x:c r="B7" s="34" t="n">
        <x:f>1</x:f>
        <x:v>1</x:v>
      </x:c>
      <x:c r="C7" s="34" t="n">
        <x:f>'МАИ суждения'!E5</x:f>
        <x:v>1</x:v>
      </x:c>
      <x:c r="D7" s="34" t="n">
        <x:f>'МАИ суждения'!E6</x:f>
        <x:v>2</x:v>
      </x:c>
      <x:c r="E7" s="34" t="n">
        <x:f>'МАИ суждения'!E7</x:f>
        <x:v>3</x:v>
      </x:c>
      <x:c r="F7" s="34" t="n">
        <x:f>'МАИ суждения'!E8</x:f>
        <x:v>4</x:v>
      </x:c>
      <x:c r="G7" s="34" t="n">
        <x:f>(PRODUCT(B7:F7))^(1/5)</x:f>
        <x:v>1.888175022589804</x:v>
      </x:c>
      <x:c r="H7" s="34" t="n">
        <x:f>G7/SUM($G$7:$G$11)</x:f>
        <x:v>0.31967279014900263</x:v>
      </x:c>
      <x:c r="I7" s="34" t="n">
        <x:f>(B7*$H$7+C7*$H$8+D7*$H$9+E7*$H$10+F7*$H$11)/H7</x:f>
        <x:v>5.0228176109538385</x:v>
      </x:c>
      <x:c r="J7" s="6"/>
      <x:c r="K7" s="6"/>
      <x:c r="L7" s="6"/>
      <x:c r="M7" s="6"/>
      <x:c r="N7" s="6"/>
      <x:c r="O7" s="6"/>
      <x:c r="P7" s="6"/>
      <x:c r="Q7" s="6"/>
    </x:row>
    <x:row r="8" ht="19" customHeight="1">
      <x:c r="A8" s="6" t="str">
        <x:v>K2</x:v>
      </x:c>
      <x:c r="B8" s="34" t="n">
        <x:f>1/'МАИ суждения'!E5</x:f>
        <x:v>1</x:v>
      </x:c>
      <x:c r="C8" s="34" t="n">
        <x:f>1</x:f>
        <x:v>1</x:v>
      </x:c>
      <x:c r="D8" s="34" t="n">
        <x:f>'МАИ суждения'!E9</x:f>
        <x:v>2</x:v>
      </x:c>
      <x:c r="E8" s="34" t="n">
        <x:f>'МАИ суждения'!E10</x:f>
        <x:v>3</x:v>
      </x:c>
      <x:c r="F8" s="34" t="n">
        <x:f>'МАИ суждения'!E11</x:f>
        <x:v>4</x:v>
      </x:c>
      <x:c r="G8" s="34" t="n">
        <x:f>(PRODUCT(B8:F8))^(1/5)</x:f>
        <x:v>1.888175022589804</x:v>
      </x:c>
      <x:c r="H8" s="34" t="n">
        <x:f>G8/SUM($G$7:$G$11)</x:f>
        <x:v>0.31967279014900263</x:v>
      </x:c>
      <x:c r="I8" s="34" t="n">
        <x:f>(B8*$H$7+C8*$H$8+D8*$H$9+E8*$H$10+F8*$H$11)/H8</x:f>
        <x:v>5.0228176109538385</x:v>
      </x:c>
      <x:c r="J8" s="6"/>
      <x:c r="K8" s="6"/>
      <x:c r="L8" s="6"/>
      <x:c r="M8" s="6"/>
      <x:c r="N8" s="6"/>
      <x:c r="O8" s="6"/>
      <x:c r="P8" s="6"/>
      <x:c r="Q8" s="6"/>
    </x:row>
    <x:row r="9" ht="19" customHeight="1">
      <x:c r="A9" s="6" t="str">
        <x:v>K3</x:v>
      </x:c>
      <x:c r="B9" s="34" t="n">
        <x:f>1/'МАИ суждения'!E6</x:f>
        <x:v>0.5</x:v>
      </x:c>
      <x:c r="C9" s="34" t="n">
        <x:f>1/'МАИ суждения'!E9</x:f>
        <x:v>0.5</x:v>
      </x:c>
      <x:c r="D9" s="34" t="n">
        <x:f>1</x:f>
        <x:v>1</x:v>
      </x:c>
      <x:c r="E9" s="34" t="n">
        <x:f>'МАИ суждения'!E12</x:f>
        <x:v>2</x:v>
      </x:c>
      <x:c r="F9" s="34" t="n">
        <x:f>'МАИ суждения'!E13</x:f>
        <x:v>3</x:v>
      </x:c>
      <x:c r="G9" s="34" t="n">
        <x:f>(PRODUCT(B9:F9))^(1/5)</x:f>
        <x:v>1.0844717711976986</x:v>
      </x:c>
      <x:c r="H9" s="34" t="n">
        <x:f>G9/SUM($G$7:$G$11)</x:f>
        <x:v>0.18360380409073584</x:v>
      </x:c>
      <x:c r="I9" s="34" t="n">
        <x:f>(B9*$H$7+C9*$H$8+D9*$H$9+E9*$H$10+F9*$H$11)/H9</x:f>
        <x:v>5.039824282697711</x:v>
      </x:c>
      <x:c r="J9" s="6"/>
      <x:c r="K9" s="6"/>
      <x:c r="L9" s="6"/>
      <x:c r="M9" s="6"/>
      <x:c r="N9" s="6"/>
      <x:c r="O9" s="6"/>
      <x:c r="P9" s="6"/>
      <x:c r="Q9" s="6"/>
    </x:row>
    <x:row r="10" ht="19" customHeight="1">
      <x:c r="A10" s="6" t="str">
        <x:v>K4</x:v>
      </x:c>
      <x:c r="B10" s="34" t="n">
        <x:f>1/'МАИ суждения'!E7</x:f>
        <x:v>0.3333333333333333</x:v>
      </x:c>
      <x:c r="C10" s="34" t="n">
        <x:f>1/'МАИ суждения'!E10</x:f>
        <x:v>0.3333333333333333</x:v>
      </x:c>
      <x:c r="D10" s="34" t="n">
        <x:f>1/'МАИ суждения'!E12</x:f>
        <x:v>0.5</x:v>
      </x:c>
      <x:c r="E10" s="34" t="n">
        <x:f>1</x:f>
        <x:v>1</x:v>
      </x:c>
      <x:c r="F10" s="34" t="n">
        <x:f>'МАИ суждения'!E14</x:f>
        <x:v>2</x:v>
      </x:c>
      <x:c r="G10" s="34" t="n">
        <x:f>(PRODUCT(B10:F10))^(1/5)</x:f>
        <x:v>0.6443940149772542</x:v>
      </x:c>
      <x:c r="H10" s="34" t="n">
        <x:f>G10/SUM($G$7:$G$11)</x:f>
        <x:v>0.10909753082135142</x:v>
      </x:c>
      <x:c r="I10" s="34" t="n">
        <x:f>(B10*$H$7+C10*$H$8+D10*$H$9+E10*$H$10+F10*$H$11)/H10</x:f>
        <x:v>5.040634666422515</x:v>
      </x:c>
      <x:c r="J10" s="6"/>
      <x:c r="K10" s="6"/>
      <x:c r="L10" s="6"/>
      <x:c r="M10" s="6"/>
      <x:c r="N10" s="6"/>
      <x:c r="O10" s="6"/>
      <x:c r="P10" s="6"/>
      <x:c r="Q10" s="6"/>
    </x:row>
    <x:row r="11" ht="19" customHeight="1">
      <x:c r="A11" s="6" t="str">
        <x:v>K5</x:v>
      </x:c>
      <x:c r="B11" s="34" t="n">
        <x:f>1/'МАИ суждения'!E8</x:f>
        <x:v>0.25</x:v>
      </x:c>
      <x:c r="C11" s="34" t="n">
        <x:f>1/'МАИ суждения'!E11</x:f>
        <x:v>0.25</x:v>
      </x:c>
      <x:c r="D11" s="34" t="n">
        <x:f>1/'МАИ суждения'!E13</x:f>
        <x:v>0.3333333333333333</x:v>
      </x:c>
      <x:c r="E11" s="34" t="n">
        <x:f>1/'МАИ суждения'!E14</x:f>
        <x:v>0.5</x:v>
      </x:c>
      <x:c r="F11" s="34" t="n">
        <x:f>1</x:f>
        <x:v>1</x:v>
      </x:c>
      <x:c r="G11" s="34" t="n">
        <x:f>(PRODUCT(B11:F11))^(1/5)</x:f>
        <x:v>0.4013707808801153</x:v>
      </x:c>
      <x:c r="H11" s="34" t="n">
        <x:f>G11/SUM($G$7:$G$11)</x:f>
        <x:v>0.06795308478990747</x:v>
      </x:c>
      <x:c r="I11" s="34" t="n">
        <x:f>(B11*$H$7+C11*$H$8+D11*$H$9+E11*$H$10+F11*$H$11)/H11</x:f>
        <x:v>5.055539632489988</x:v>
      </x:c>
      <x:c r="J11" s="6"/>
      <x:c r="K11" s="6"/>
      <x:c r="L11" s="6"/>
      <x:c r="M11" s="6"/>
      <x:c r="N11" s="6"/>
      <x:c r="O11" s="6"/>
      <x:c r="P11" s="6"/>
      <x:c r="Q11" s="6"/>
    </x:row>
    <x:row r="12" ht="19" customHeight="1">
      <x:c r="A12" s="6"/>
      <x:c r="B12" s="6"/>
      <x:c r="C12" s="6"/>
      <x:c r="D12" s="6"/>
      <x:c r="E12" s="6"/>
      <x:c r="F12" s="6"/>
      <x:c r="G12" s="6"/>
      <x:c r="H12" s="6"/>
      <x:c r="I12" s="6"/>
      <x:c r="J12" s="6"/>
      <x:c r="K12" s="6"/>
      <x:c r="L12" s="6"/>
      <x:c r="M12" s="6"/>
      <x:c r="N12" s="6"/>
      <x:c r="O12" s="6"/>
      <x:c r="P12" s="6"/>
      <x:c r="Q12" s="6"/>
    </x:row>
    <x:row r="13" ht="19" customHeight="1">
      <x:c r="A13" s="32" t="str">
        <x:v>λmax</x:v>
      </x:c>
      <x:c r="B13" s="38" t="n">
        <x:f>AVERAGE(I7:I11)</x:f>
        <x:v>5.036326760703579</x:v>
      </x:c>
      <x:c r="C13" s="32" t="str">
        <x:v>CI</x:v>
      </x:c>
      <x:c r="D13" s="38" t="n">
        <x:f>(B13-5)/(5-1)</x:f>
        <x:v>0.009081690175894774</x:v>
      </x:c>
      <x:c r="E13" s="32" t="str">
        <x:v>CR</x:v>
      </x:c>
      <x:c r="F13" s="38" t="n">
        <x:f>D13/1.12</x:f>
        <x:v>0.00810865194276319</x:v>
      </x:c>
      <x:c r="G13" s="32" t="str">
        <x:v>Статус</x:v>
      </x:c>
      <x:c r="H13" s="32" t="str">
        <x:f>IF(F13&lt;=0.1,"OK","Пересмотреть")</x:f>
        <x:v>OK</x:v>
      </x:c>
      <x:c r="I13" s="6"/>
      <x:c r="J13" s="6"/>
      <x:c r="K13" s="6"/>
      <x:c r="L13" s="6"/>
      <x:c r="M13" s="6"/>
      <x:c r="N13" s="6"/>
      <x:c r="O13" s="6"/>
      <x:c r="P13" s="6"/>
      <x:c r="Q13" s="6"/>
    </x:row>
    <x:row r="14" ht="19" customHeight="1">
      <x:c r="A14" s="6"/>
      <x:c r="B14" s="6"/>
      <x:c r="C14" s="6"/>
      <x:c r="D14" s="6"/>
      <x:c r="E14" s="6"/>
      <x:c r="F14" s="6"/>
      <x:c r="G14" s="6"/>
      <x:c r="H14" s="6"/>
      <x:c r="I14" s="6"/>
      <x:c r="J14" s="6"/>
      <x:c r="K14" s="6"/>
      <x:c r="L14" s="6"/>
      <x:c r="M14" s="6"/>
      <x:c r="N14" s="6"/>
      <x:c r="O14" s="6"/>
      <x:c r="P14" s="6"/>
      <x:c r="Q14" s="6"/>
    </x:row>
    <x:row r="15" ht="19" customHeight="1">
      <x:c r="A15" s="6"/>
      <x:c r="B15" s="6"/>
      <x:c r="C15" s="6"/>
      <x:c r="D15" s="6"/>
      <x:c r="E15" s="6"/>
      <x:c r="F15" s="6"/>
      <x:c r="G15" s="6"/>
      <x:c r="H15" s="6"/>
      <x:c r="I15" s="6"/>
      <x:c r="J15" s="6"/>
      <x:c r="K15" s="6"/>
      <x:c r="L15" s="6"/>
      <x:c r="M15" s="6"/>
      <x:c r="N15" s="6"/>
      <x:c r="O15" s="6"/>
      <x:c r="P15" s="6"/>
      <x:c r="Q15" s="6"/>
    </x:row>
    <x:row r="16" ht="19" customHeight="1">
      <x:c r="A16" s="6"/>
      <x:c r="B16" s="6"/>
      <x:c r="C16" s="6"/>
      <x:c r="D16" s="6"/>
      <x:c r="E16" s="6"/>
      <x:c r="F16" s="6"/>
      <x:c r="G16" s="6"/>
      <x:c r="H16" s="6"/>
      <x:c r="I16" s="6"/>
      <x:c r="J16" s="6"/>
      <x:c r="K16" s="6"/>
      <x:c r="L16" s="6"/>
      <x:c r="M16" s="6"/>
      <x:c r="N16" s="6"/>
      <x:c r="O16" s="6"/>
      <x:c r="P16" s="6"/>
      <x:c r="Q16" s="6"/>
    </x:row>
    <x:row r="17" ht="19" customHeight="1">
      <x:c r="A17" s="6"/>
      <x:c r="B17" s="6"/>
      <x:c r="C17" s="6"/>
      <x:c r="D17" s="6"/>
      <x:c r="E17" s="6"/>
      <x:c r="F17" s="6"/>
      <x:c r="G17" s="6"/>
      <x:c r="H17" s="6"/>
      <x:c r="I17" s="6"/>
      <x:c r="J17" s="6"/>
      <x:c r="K17" s="6"/>
      <x:c r="L17" s="6"/>
      <x:c r="M17" s="6"/>
      <x:c r="N17" s="6"/>
      <x:c r="O17" s="6"/>
      <x:c r="P17" s="6"/>
      <x:c r="Q17" s="6"/>
    </x:row>
    <x:row r="18" ht="26" customHeight="1">
      <x:c r="A18" s="25" t="str">
        <x:v>Участник 1 | Альтернативы по K1</x:v>
      </x:c>
      <x:c r="B18" s="25"/>
      <x:c r="C18" s="25"/>
      <x:c r="D18" s="25"/>
      <x:c r="E18" s="25"/>
      <x:c r="F18" s="25"/>
      <x:c r="G18" s="25"/>
      <x:c r="H18" s="25"/>
      <x:c r="I18" s="25"/>
      <x:c r="J18" s="6"/>
      <x:c r="K18" s="6"/>
      <x:c r="L18" s="6"/>
      <x:c r="M18" s="6"/>
      <x:c r="N18" s="6"/>
      <x:c r="O18" s="6"/>
      <x:c r="P18" s="6"/>
      <x:c r="Q18" s="6"/>
    </x:row>
    <x:row r="19" ht="30" customHeight="1">
      <x:c r="A19" s="17" t="str">
        <x:v>Объект</x:v>
      </x:c>
      <x:c r="B19" s="17" t="str">
        <x:v>A1</x:v>
      </x:c>
      <x:c r="C19" s="17" t="str">
        <x:v>A2</x:v>
      </x:c>
      <x:c r="D19" s="17" t="str">
        <x:v>A3</x:v>
      </x:c>
      <x:c r="E19" s="17" t="str">
        <x:v>A4</x:v>
      </x:c>
      <x:c r="F19" s="17" t="str">
        <x:v>Геом.</x:v>
      </x:c>
      <x:c r="G19" s="17" t="str">
        <x:v>Приоритет</x:v>
      </x:c>
      <x:c r="H19" s="17" t="str">
        <x:v>(Aw)/w</x:v>
      </x:c>
      <x:c r="I19" s="6"/>
      <x:c r="J19" s="6"/>
      <x:c r="K19" s="6"/>
      <x:c r="L19" s="6"/>
      <x:c r="M19" s="6"/>
      <x:c r="N19" s="6"/>
      <x:c r="O19" s="6"/>
      <x:c r="P19" s="6"/>
      <x:c r="Q19" s="6"/>
    </x:row>
    <x:row r="20" ht="19" customHeight="1">
      <x:c r="A20" s="6" t="str">
        <x:v>A1</x:v>
      </x:c>
      <x:c r="B20" s="34" t="n">
        <x:f>1</x:f>
        <x:v>1</x:v>
      </x:c>
      <x:c r="C20" s="34" t="n">
        <x:f>'МАИ суждения'!E15</x:f>
        <x:v>0.5</x:v>
      </x:c>
      <x:c r="D20" s="34" t="n">
        <x:f>'МАИ суждения'!E16</x:f>
        <x:v>2</x:v>
      </x:c>
      <x:c r="E20" s="34" t="n">
        <x:f>'МАИ суждения'!E17</x:f>
        <x:v>1</x:v>
      </x:c>
      <x:c r="F20" s="34" t="n">
        <x:f>(PRODUCT(B20:E20))^(1/4)</x:f>
        <x:v>1</x:v>
      </x:c>
      <x:c r="G20" s="34" t="n">
        <x:f>F20/SUM($F$20:$F$23)</x:f>
        <x:v>0.22735050780241753</x:v>
      </x:c>
      <x:c r="H20" s="34" t="n">
        <x:f>(B20*$G$20+C20*$G$21+D20*$G$22+E20*$G$23)/G20</x:f>
        <x:v>4.005174790925642</x:v>
      </x:c>
      <x:c r="I20" s="34"/>
      <x:c r="J20" s="6"/>
      <x:c r="K20" s="6"/>
      <x:c r="L20" s="6"/>
      <x:c r="M20" s="6"/>
      <x:c r="N20" s="6"/>
      <x:c r="O20" s="6"/>
      <x:c r="P20" s="6"/>
      <x:c r="Q20" s="6"/>
    </x:row>
    <x:row r="21" ht="19" customHeight="1">
      <x:c r="A21" s="6" t="str">
        <x:v>A2</x:v>
      </x:c>
      <x:c r="B21" s="34" t="n">
        <x:f>1/'МАИ суждения'!E15</x:f>
        <x:v>2</x:v>
      </x:c>
      <x:c r="C21" s="34" t="n">
        <x:f>1</x:f>
        <x:v>1</x:v>
      </x:c>
      <x:c r="D21" s="34" t="n">
        <x:f>'МАИ суждения'!E18</x:f>
        <x:v>3</x:v>
      </x:c>
      <x:c r="E21" s="34" t="n">
        <x:f>'МАИ суждения'!E19</x:f>
        <x:v>2</x:v>
      </x:c>
      <x:c r="F21" s="34" t="n">
        <x:f>(PRODUCT(B21:E21))^(1/4)</x:f>
        <x:v>1.8612097182041991</x:v>
      </x:c>
      <x:c r="G21" s="34" t="n">
        <x:f>F21/SUM($F$20:$F$23)</x:f>
        <x:v>0.42314697456051914</x:v>
      </x:c>
      <x:c r="H21" s="34" t="n">
        <x:f>(B21*$G$20+C21*$G$21+D21*$G$22+E21*$G$23)/G21</x:f>
        <x:v>4.015165267431522</x:v>
      </x:c>
      <x:c r="I21" s="34"/>
      <x:c r="J21" s="6"/>
      <x:c r="K21" s="6"/>
      <x:c r="L21" s="6"/>
      <x:c r="M21" s="6"/>
      <x:c r="N21" s="6"/>
      <x:c r="O21" s="6"/>
      <x:c r="P21" s="6"/>
      <x:c r="Q21" s="6"/>
    </x:row>
    <x:row r="22" ht="19" customHeight="1">
      <x:c r="A22" s="6" t="str">
        <x:v>A3</x:v>
      </x:c>
      <x:c r="B22" s="34" t="n">
        <x:f>1/'МАИ суждения'!E16</x:f>
        <x:v>0.5</x:v>
      </x:c>
      <x:c r="C22" s="34" t="n">
        <x:f>1/'МАИ суждения'!E18</x:f>
        <x:v>0.3333333333333333</x:v>
      </x:c>
      <x:c r="D22" s="34" t="n">
        <x:f>1</x:f>
        <x:v>1</x:v>
      </x:c>
      <x:c r="E22" s="34" t="n">
        <x:f>'МАИ суждения'!E20</x:f>
        <x:v>0.5</x:v>
      </x:c>
      <x:c r="F22" s="34" t="n">
        <x:f>(PRODUCT(B22:E22))^(1/4)</x:f>
        <x:v>0.537284965911771</x:v>
      </x:c>
      <x:c r="G22" s="34" t="n">
        <x:f>F22/SUM($F$20:$F$23)</x:f>
        <x:v>0.12215200983464573</x:v>
      </x:c>
      <x:c r="H22" s="34" t="n">
        <x:f>(B22*$G$20+C22*$G$21+D22*$G$22+E22*$G$23)/G22</x:f>
        <x:v>4.01591025658345</x:v>
      </x:c>
      <x:c r="I22" s="34"/>
      <x:c r="J22" s="6"/>
      <x:c r="K22" s="6"/>
      <x:c r="L22" s="6"/>
      <x:c r="M22" s="6"/>
      <x:c r="N22" s="6"/>
      <x:c r="O22" s="6"/>
      <x:c r="P22" s="6"/>
      <x:c r="Q22" s="6"/>
    </x:row>
    <x:row r="23" ht="19" customHeight="1">
      <x:c r="A23" s="6" t="str">
        <x:v>A4</x:v>
      </x:c>
      <x:c r="B23" s="34" t="n">
        <x:f>1/'МАИ суждения'!E17</x:f>
        <x:v>1</x:v>
      </x:c>
      <x:c r="C23" s="34" t="n">
        <x:f>1/'МАИ суждения'!E19</x:f>
        <x:v>0.5</x:v>
      </x:c>
      <x:c r="D23" s="34" t="n">
        <x:f>1/'МАИ суждения'!E20</x:f>
        <x:v>2</x:v>
      </x:c>
      <x:c r="E23" s="34" t="n">
        <x:f>1</x:f>
        <x:v>1</x:v>
      </x:c>
      <x:c r="F23" s="34" t="n">
        <x:f>(PRODUCT(B23:E23))^(1/4)</x:f>
        <x:v>1</x:v>
      </x:c>
      <x:c r="G23" s="34" t="n">
        <x:f>F23/SUM($F$20:$F$23)</x:f>
        <x:v>0.22735050780241753</x:v>
      </x:c>
      <x:c r="H23" s="34" t="n">
        <x:f>(B23*$G$20+C23*$G$21+D23*$G$22+E23*$G$23)/G23</x:f>
        <x:v>4.005174790925642</x:v>
      </x:c>
      <x:c r="I23" s="34"/>
      <x:c r="J23" s="6"/>
      <x:c r="K23" s="6"/>
      <x:c r="L23" s="6"/>
      <x:c r="M23" s="6"/>
      <x:c r="N23" s="6"/>
      <x:c r="O23" s="6"/>
      <x:c r="P23" s="6"/>
      <x:c r="Q23" s="6"/>
    </x:row>
    <x:row r="24" ht="19" customHeight="1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  <x:c r="Q24" s="6"/>
    </x:row>
    <x:row r="25" ht="19" customHeight="1">
      <x:c r="A25" s="32" t="str">
        <x:v>λmax</x:v>
      </x:c>
      <x:c r="B25" s="38" t="n">
        <x:f>AVERAGE(H20:H23)</x:f>
        <x:v>4.010356276466563</x:v>
      </x:c>
      <x:c r="C25" s="32" t="str">
        <x:v>CI</x:v>
      </x:c>
      <x:c r="D25" s="38" t="n">
        <x:f>(B25-4)/(4-1)</x:f>
        <x:v>0.003452092155521077</x:v>
      </x:c>
      <x:c r="E25" s="32" t="str">
        <x:v>CR</x:v>
      </x:c>
      <x:c r="F25" s="38" t="n">
        <x:f>D25/0.9</x:f>
        <x:v>0.003835657950578974</x:v>
      </x:c>
      <x:c r="G25" s="32" t="str">
        <x:v>Статус</x:v>
      </x:c>
      <x:c r="H25" s="32" t="str">
        <x:f>IF(F25&lt;=0.1,"OK","Пересмотреть")</x:f>
        <x:v>OK</x:v>
      </x:c>
      <x:c r="I25" s="6"/>
      <x:c r="J25" s="6"/>
      <x:c r="K25" s="6"/>
      <x:c r="L25" s="6"/>
      <x:c r="M25" s="6"/>
      <x:c r="N25" s="6"/>
      <x:c r="O25" s="6"/>
      <x:c r="P25" s="6"/>
      <x:c r="Q25" s="6"/>
    </x:row>
    <x:row r="26" ht="19" customHeight="1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  <x:c r="Q26" s="6"/>
    </x:row>
    <x:row r="27" ht="19" customHeight="1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  <x:c r="Q27" s="6"/>
    </x:row>
    <x:row r="28" ht="19" customHeight="1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  <x:c r="Q28" s="6"/>
    </x:row>
    <x:row r="29" ht="19" customHeight="1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  <x:c r="Q29" s="6"/>
    </x:row>
    <x:row r="30" ht="19" customHeight="1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  <x:c r="Q30" s="6"/>
    </x:row>
    <x:row r="31" ht="26" customHeight="1">
      <x:c r="A31" s="25" t="str">
        <x:v>Участник 1 | Альтернативы по K2</x:v>
      </x:c>
      <x:c r="B31" s="25"/>
      <x:c r="C31" s="25"/>
      <x:c r="D31" s="25"/>
      <x:c r="E31" s="25"/>
      <x:c r="F31" s="25"/>
      <x:c r="G31" s="25"/>
      <x:c r="H31" s="25"/>
      <x:c r="I31" s="25"/>
      <x:c r="J31" s="6"/>
      <x:c r="K31" s="6"/>
      <x:c r="L31" s="6"/>
      <x:c r="M31" s="6"/>
      <x:c r="N31" s="6"/>
      <x:c r="O31" s="6"/>
      <x:c r="P31" s="6"/>
      <x:c r="Q31" s="6"/>
    </x:row>
    <x:row r="32" ht="30" customHeight="1">
      <x:c r="A32" s="17" t="str">
        <x:v>Объект</x:v>
      </x:c>
      <x:c r="B32" s="17" t="str">
        <x:v>A1</x:v>
      </x:c>
      <x:c r="C32" s="17" t="str">
        <x:v>A2</x:v>
      </x:c>
      <x:c r="D32" s="17" t="str">
        <x:v>A3</x:v>
      </x:c>
      <x:c r="E32" s="17" t="str">
        <x:v>A4</x:v>
      </x:c>
      <x:c r="F32" s="17" t="str">
        <x:v>Геом.</x:v>
      </x:c>
      <x:c r="G32" s="17" t="str">
        <x:v>Приоритет</x:v>
      </x:c>
      <x:c r="H32" s="17" t="str">
        <x:v>(Aw)/w</x:v>
      </x:c>
      <x:c r="I32" s="6"/>
      <x:c r="J32" s="6"/>
      <x:c r="K32" s="6"/>
      <x:c r="L32" s="6"/>
      <x:c r="M32" s="6"/>
      <x:c r="N32" s="6"/>
      <x:c r="O32" s="6"/>
      <x:c r="P32" s="6"/>
      <x:c r="Q32" s="6"/>
    </x:row>
    <x:row r="33" ht="19" customHeight="1">
      <x:c r="A33" s="6" t="str">
        <x:v>A1</x:v>
      </x:c>
      <x:c r="B33" s="34" t="n">
        <x:f>1</x:f>
        <x:v>1</x:v>
      </x:c>
      <x:c r="C33" s="34" t="n">
        <x:f>'МАИ суждения'!E21</x:f>
        <x:v>2</x:v>
      </x:c>
      <x:c r="D33" s="34" t="n">
        <x:f>'МАИ суждения'!E22</x:f>
        <x:v>1</x:v>
      </x:c>
      <x:c r="E33" s="34" t="n">
        <x:f>'МАИ суждения'!E23</x:f>
        <x:v>4</x:v>
      </x:c>
      <x:c r="F33" s="34" t="n">
        <x:f>(PRODUCT(B33:E33))^(1/4)</x:f>
        <x:v>1.681792830507429</x:v>
      </x:c>
      <x:c r="G33" s="34" t="n">
        <x:f>F33/SUM($F$33:$F$36)</x:f>
        <x:v>0.36363636363636365</x:v>
      </x:c>
      <x:c r="H33" s="34" t="n">
        <x:f>(B33*$G$33+C33*$G$34+D33*$G$35+E33*$G$36)/G33</x:f>
        <x:v>4</x:v>
      </x:c>
      <x:c r="I33" s="34"/>
      <x:c r="J33" s="6"/>
      <x:c r="K33" s="6"/>
      <x:c r="L33" s="6"/>
      <x:c r="M33" s="6"/>
      <x:c r="N33" s="6"/>
      <x:c r="O33" s="6"/>
      <x:c r="P33" s="6"/>
      <x:c r="Q33" s="6"/>
    </x:row>
    <x:row r="34" ht="19" customHeight="1">
      <x:c r="A34" s="6" t="str">
        <x:v>A2</x:v>
      </x:c>
      <x:c r="B34" s="34" t="n">
        <x:f>1/'МАИ суждения'!E21</x:f>
        <x:v>0.5</x:v>
      </x:c>
      <x:c r="C34" s="34" t="n">
        <x:f>1</x:f>
        <x:v>1</x:v>
      </x:c>
      <x:c r="D34" s="34" t="n">
        <x:f>'МАИ суждения'!E24</x:f>
        <x:v>0.5</x:v>
      </x:c>
      <x:c r="E34" s="34" t="n">
        <x:f>'МАИ суждения'!E25</x:f>
        <x:v>2</x:v>
      </x:c>
      <x:c r="F34" s="34" t="n">
        <x:f>(PRODUCT(B34:E34))^(1/4)</x:f>
        <x:v>0.8408964152537145</x:v>
      </x:c>
      <x:c r="G34" s="34" t="n">
        <x:f>F34/SUM($F$33:$F$36)</x:f>
        <x:v>0.18181818181818182</x:v>
      </x:c>
      <x:c r="H34" s="34" t="n">
        <x:f>(B34*$G$33+C34*$G$34+D34*$G$35+E34*$G$36)/G34</x:f>
        <x:v>4</x:v>
      </x:c>
      <x:c r="I34" s="34"/>
      <x:c r="J34" s="6"/>
      <x:c r="K34" s="6"/>
      <x:c r="L34" s="6"/>
      <x:c r="M34" s="6"/>
      <x:c r="N34" s="6"/>
      <x:c r="O34" s="6"/>
      <x:c r="P34" s="6"/>
      <x:c r="Q34" s="6"/>
    </x:row>
    <x:row r="35" ht="19" customHeight="1">
      <x:c r="A35" s="6" t="str">
        <x:v>A3</x:v>
      </x:c>
      <x:c r="B35" s="34" t="n">
        <x:f>1/'МАИ суждения'!E22</x:f>
        <x:v>1</x:v>
      </x:c>
      <x:c r="C35" s="34" t="n">
        <x:f>1/'МАИ суждения'!E24</x:f>
        <x:v>2</x:v>
      </x:c>
      <x:c r="D35" s="34" t="n">
        <x:f>1</x:f>
        <x:v>1</x:v>
      </x:c>
      <x:c r="E35" s="34" t="n">
        <x:f>'МАИ суждения'!E26</x:f>
        <x:v>4</x:v>
      </x:c>
      <x:c r="F35" s="34" t="n">
        <x:f>(PRODUCT(B35:E35))^(1/4)</x:f>
        <x:v>1.681792830507429</x:v>
      </x:c>
      <x:c r="G35" s="34" t="n">
        <x:f>F35/SUM($F$33:$F$36)</x:f>
        <x:v>0.36363636363636365</x:v>
      </x:c>
      <x:c r="H35" s="34" t="n">
        <x:f>(B35*$G$33+C35*$G$34+D35*$G$35+E35*$G$36)/G35</x:f>
        <x:v>4</x:v>
      </x:c>
      <x:c r="I35" s="34"/>
      <x:c r="J35" s="6"/>
      <x:c r="K35" s="6"/>
      <x:c r="L35" s="6"/>
      <x:c r="M35" s="6"/>
      <x:c r="N35" s="6"/>
      <x:c r="O35" s="6"/>
      <x:c r="P35" s="6"/>
      <x:c r="Q35" s="6"/>
    </x:row>
    <x:row r="36" ht="19" customHeight="1">
      <x:c r="A36" s="6" t="str">
        <x:v>A4</x:v>
      </x:c>
      <x:c r="B36" s="34" t="n">
        <x:f>1/'МАИ суждения'!E23</x:f>
        <x:v>0.25</x:v>
      </x:c>
      <x:c r="C36" s="34" t="n">
        <x:f>1/'МАИ суждения'!E25</x:f>
        <x:v>0.5</x:v>
      </x:c>
      <x:c r="D36" s="34" t="n">
        <x:f>1/'МАИ суждения'!E26</x:f>
        <x:v>0.25</x:v>
      </x:c>
      <x:c r="E36" s="34" t="n">
        <x:f>1</x:f>
        <x:v>1</x:v>
      </x:c>
      <x:c r="F36" s="34" t="n">
        <x:f>(PRODUCT(B36:E36))^(1/4)</x:f>
        <x:v>0.42044820762685725</x:v>
      </x:c>
      <x:c r="G36" s="34" t="n">
        <x:f>F36/SUM($F$33:$F$36)</x:f>
        <x:v>0.09090909090909091</x:v>
      </x:c>
      <x:c r="H36" s="34" t="n">
        <x:f>(B36*$G$33+C36*$G$34+D36*$G$35+E36*$G$36)/G36</x:f>
        <x:v>4</x:v>
      </x:c>
      <x:c r="I36" s="34"/>
      <x:c r="J36" s="6"/>
      <x:c r="K36" s="6"/>
      <x:c r="L36" s="6"/>
      <x:c r="M36" s="6"/>
      <x:c r="N36" s="6"/>
      <x:c r="O36" s="6"/>
      <x:c r="P36" s="6"/>
      <x:c r="Q36" s="6"/>
    </x:row>
    <x:row r="37" ht="19" customHeight="1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  <x:c r="Q37" s="6"/>
    </x:row>
    <x:row r="38" ht="19" customHeight="1">
      <x:c r="A38" s="32" t="str">
        <x:v>λmax</x:v>
      </x:c>
      <x:c r="B38" s="38" t="n">
        <x:f>AVERAGE(H33:H36)</x:f>
        <x:v>4</x:v>
      </x:c>
      <x:c r="C38" s="32" t="str">
        <x:v>CI</x:v>
      </x:c>
      <x:c r="D38" s="38" t="n">
        <x:f>(B38-4)/(4-1)</x:f>
        <x:v>0</x:v>
      </x:c>
      <x:c r="E38" s="32" t="str">
        <x:v>CR</x:v>
      </x:c>
      <x:c r="F38" s="38" t="n">
        <x:f>D38/0.9</x:f>
        <x:v>0</x:v>
      </x:c>
      <x:c r="G38" s="32" t="str">
        <x:v>Статус</x:v>
      </x:c>
      <x:c r="H38" s="32" t="str">
        <x:f>IF(F38&lt;=0.1,"OK","Пересмотреть")</x:f>
        <x:v>OK</x:v>
      </x:c>
      <x:c r="I38" s="6"/>
      <x:c r="J38" s="6"/>
      <x:c r="K38" s="6"/>
      <x:c r="L38" s="6"/>
      <x:c r="M38" s="6"/>
      <x:c r="N38" s="6"/>
      <x:c r="O38" s="6"/>
      <x:c r="P38" s="6"/>
      <x:c r="Q38" s="6"/>
    </x:row>
    <x:row r="39" ht="19" customHeight="1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  <x:c r="Q39" s="6"/>
    </x:row>
    <x:row r="40" ht="19" customHeight="1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  <x:c r="Q40" s="6"/>
    </x:row>
    <x:row r="41" ht="19" customHeight="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  <x:c r="Q41" s="6"/>
    </x:row>
    <x:row r="42" ht="19" customHeight="1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  <x:c r="Q42" s="6"/>
    </x:row>
    <x:row r="43" ht="19" customHeight="1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  <x:c r="Q43" s="6"/>
    </x:row>
    <x:row r="44" ht="26" customHeight="1">
      <x:c r="A44" s="25" t="str">
        <x:v>Участник 1 | Альтернативы по K3</x:v>
      </x:c>
      <x:c r="B44" s="25"/>
      <x:c r="C44" s="25"/>
      <x:c r="D44" s="25"/>
      <x:c r="E44" s="25"/>
      <x:c r="F44" s="25"/>
      <x:c r="G44" s="25"/>
      <x:c r="H44" s="25"/>
      <x:c r="I44" s="25"/>
      <x:c r="J44" s="6"/>
      <x:c r="K44" s="6"/>
      <x:c r="L44" s="6"/>
      <x:c r="M44" s="6"/>
      <x:c r="N44" s="6"/>
      <x:c r="O44" s="6"/>
      <x:c r="P44" s="6"/>
      <x:c r="Q44" s="6"/>
    </x:row>
    <x:row r="45" ht="30" customHeight="1">
      <x:c r="A45" s="17" t="str">
        <x:v>Объект</x:v>
      </x:c>
      <x:c r="B45" s="17" t="str">
        <x:v>A1</x:v>
      </x:c>
      <x:c r="C45" s="17" t="str">
        <x:v>A2</x:v>
      </x:c>
      <x:c r="D45" s="17" t="str">
        <x:v>A3</x:v>
      </x:c>
      <x:c r="E45" s="17" t="str">
        <x:v>A4</x:v>
      </x:c>
      <x:c r="F45" s="17" t="str">
        <x:v>Геом.</x:v>
      </x:c>
      <x:c r="G45" s="17" t="str">
        <x:v>Приоритет</x:v>
      </x:c>
      <x:c r="H45" s="17" t="str">
        <x:v>(Aw)/w</x:v>
      </x:c>
      <x:c r="I45" s="6"/>
      <x:c r="J45" s="6"/>
      <x:c r="K45" s="6"/>
      <x:c r="L45" s="6"/>
      <x:c r="M45" s="6"/>
      <x:c r="N45" s="6"/>
      <x:c r="O45" s="6"/>
      <x:c r="P45" s="6"/>
      <x:c r="Q45" s="6"/>
    </x:row>
    <x:row r="46" ht="19" customHeight="1">
      <x:c r="A46" s="6" t="str">
        <x:v>A1</x:v>
      </x:c>
      <x:c r="B46" s="34" t="n">
        <x:f>1</x:f>
        <x:v>1</x:v>
      </x:c>
      <x:c r="C46" s="34" t="n">
        <x:f>'МАИ суждения'!E27</x:f>
        <x:v>1</x:v>
      </x:c>
      <x:c r="D46" s="34" t="n">
        <x:f>'МАИ суждения'!E28</x:f>
        <x:v>2</x:v>
      </x:c>
      <x:c r="E46" s="34" t="n">
        <x:f>'МАИ суждения'!E29</x:f>
        <x:v>4</x:v>
      </x:c>
      <x:c r="F46" s="34" t="n">
        <x:f>(PRODUCT(B46:E46))^(1/4)</x:f>
        <x:v>1.681792830507429</x:v>
      </x:c>
      <x:c r="G46" s="34" t="n">
        <x:f>F46/SUM($F$46:$F$49)</x:f>
        <x:v>0.36363636363636365</x:v>
      </x:c>
      <x:c r="H46" s="34" t="n">
        <x:f>(B46*$G$46+C46*$G$47+D46*$G$48+E46*$G$49)/G46</x:f>
        <x:v>4</x:v>
      </x:c>
      <x:c r="I46" s="34"/>
      <x:c r="J46" s="6"/>
      <x:c r="K46" s="6"/>
      <x:c r="L46" s="6"/>
      <x:c r="M46" s="6"/>
      <x:c r="N46" s="6"/>
      <x:c r="O46" s="6"/>
      <x:c r="P46" s="6"/>
      <x:c r="Q46" s="6"/>
    </x:row>
    <x:row r="47" ht="19" customHeight="1">
      <x:c r="A47" s="6" t="str">
        <x:v>A2</x:v>
      </x:c>
      <x:c r="B47" s="34" t="n">
        <x:f>1/'МАИ суждения'!E27</x:f>
        <x:v>1</x:v>
      </x:c>
      <x:c r="C47" s="34" t="n">
        <x:f>1</x:f>
        <x:v>1</x:v>
      </x:c>
      <x:c r="D47" s="34" t="n">
        <x:f>'МАИ суждения'!E30</x:f>
        <x:v>2</x:v>
      </x:c>
      <x:c r="E47" s="34" t="n">
        <x:f>'МАИ суждения'!E31</x:f>
        <x:v>4</x:v>
      </x:c>
      <x:c r="F47" s="34" t="n">
        <x:f>(PRODUCT(B47:E47))^(1/4)</x:f>
        <x:v>1.681792830507429</x:v>
      </x:c>
      <x:c r="G47" s="34" t="n">
        <x:f>F47/SUM($F$46:$F$49)</x:f>
        <x:v>0.36363636363636365</x:v>
      </x:c>
      <x:c r="H47" s="34" t="n">
        <x:f>(B47*$G$46+C47*$G$47+D47*$G$48+E47*$G$49)/G47</x:f>
        <x:v>4</x:v>
      </x:c>
      <x:c r="I47" s="34"/>
      <x:c r="J47" s="6"/>
      <x:c r="K47" s="6"/>
      <x:c r="L47" s="6"/>
      <x:c r="M47" s="6"/>
      <x:c r="N47" s="6"/>
      <x:c r="O47" s="6"/>
      <x:c r="P47" s="6"/>
      <x:c r="Q47" s="6"/>
    </x:row>
    <x:row r="48" ht="19" customHeight="1">
      <x:c r="A48" s="6" t="str">
        <x:v>A3</x:v>
      </x:c>
      <x:c r="B48" s="34" t="n">
        <x:f>1/'МАИ суждения'!E28</x:f>
        <x:v>0.5</x:v>
      </x:c>
      <x:c r="C48" s="34" t="n">
        <x:f>1/'МАИ суждения'!E30</x:f>
        <x:v>0.5</x:v>
      </x:c>
      <x:c r="D48" s="34" t="n">
        <x:f>1</x:f>
        <x:v>1</x:v>
      </x:c>
      <x:c r="E48" s="34" t="n">
        <x:f>'МАИ суждения'!E32</x:f>
        <x:v>2</x:v>
      </x:c>
      <x:c r="F48" s="34" t="n">
        <x:f>(PRODUCT(B48:E48))^(1/4)</x:f>
        <x:v>0.8408964152537145</x:v>
      </x:c>
      <x:c r="G48" s="34" t="n">
        <x:f>F48/SUM($F$46:$F$49)</x:f>
        <x:v>0.18181818181818182</x:v>
      </x:c>
      <x:c r="H48" s="34" t="n">
        <x:f>(B48*$G$46+C48*$G$47+D48*$G$48+E48*$G$49)/G48</x:f>
        <x:v>4</x:v>
      </x:c>
      <x:c r="I48" s="34"/>
      <x:c r="J48" s="6"/>
      <x:c r="K48" s="6"/>
      <x:c r="L48" s="6"/>
      <x:c r="M48" s="6"/>
      <x:c r="N48" s="6"/>
      <x:c r="O48" s="6"/>
      <x:c r="P48" s="6"/>
      <x:c r="Q48" s="6"/>
    </x:row>
    <x:row r="49" ht="19" customHeight="1">
      <x:c r="A49" s="6" t="str">
        <x:v>A4</x:v>
      </x:c>
      <x:c r="B49" s="34" t="n">
        <x:f>1/'МАИ суждения'!E29</x:f>
        <x:v>0.25</x:v>
      </x:c>
      <x:c r="C49" s="34" t="n">
        <x:f>1/'МАИ суждения'!E31</x:f>
        <x:v>0.25</x:v>
      </x:c>
      <x:c r="D49" s="34" t="n">
        <x:f>1/'МАИ суждения'!E32</x:f>
        <x:v>0.5</x:v>
      </x:c>
      <x:c r="E49" s="34" t="n">
        <x:f>1</x:f>
        <x:v>1</x:v>
      </x:c>
      <x:c r="F49" s="34" t="n">
        <x:f>(PRODUCT(B49:E49))^(1/4)</x:f>
        <x:v>0.42044820762685725</x:v>
      </x:c>
      <x:c r="G49" s="34" t="n">
        <x:f>F49/SUM($F$46:$F$49)</x:f>
        <x:v>0.09090909090909091</x:v>
      </x:c>
      <x:c r="H49" s="34" t="n">
        <x:f>(B49*$G$46+C49*$G$47+D49*$G$48+E49*$G$49)/G49</x:f>
        <x:v>4</x:v>
      </x:c>
      <x:c r="I49" s="34"/>
      <x:c r="J49" s="6"/>
      <x:c r="K49" s="6"/>
      <x:c r="L49" s="6"/>
      <x:c r="M49" s="6"/>
      <x:c r="N49" s="6"/>
      <x:c r="O49" s="6"/>
      <x:c r="P49" s="6"/>
      <x:c r="Q49" s="6"/>
    </x:row>
    <x:row r="50" ht="19" customHeight="1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  <x:c r="Q50" s="6"/>
    </x:row>
    <x:row r="51" ht="19" customHeight="1">
      <x:c r="A51" s="32" t="str">
        <x:v>λmax</x:v>
      </x:c>
      <x:c r="B51" s="38" t="n">
        <x:f>AVERAGE(H46:H49)</x:f>
        <x:v>4</x:v>
      </x:c>
      <x:c r="C51" s="32" t="str">
        <x:v>CI</x:v>
      </x:c>
      <x:c r="D51" s="38" t="n">
        <x:f>(B51-4)/(4-1)</x:f>
        <x:v>0</x:v>
      </x:c>
      <x:c r="E51" s="32" t="str">
        <x:v>CR</x:v>
      </x:c>
      <x:c r="F51" s="38" t="n">
        <x:f>D51/0.9</x:f>
        <x:v>0</x:v>
      </x:c>
      <x:c r="G51" s="32" t="str">
        <x:v>Статус</x:v>
      </x:c>
      <x:c r="H51" s="32" t="str">
        <x:f>IF(F51&lt;=0.1,"OK","Пересмотреть")</x:f>
        <x:v>OK</x:v>
      </x:c>
      <x:c r="I51" s="6"/>
      <x:c r="J51" s="6"/>
      <x:c r="K51" s="6"/>
      <x:c r="L51" s="6"/>
      <x:c r="M51" s="6"/>
      <x:c r="N51" s="6"/>
      <x:c r="O51" s="6"/>
      <x:c r="P51" s="6"/>
      <x:c r="Q51" s="6"/>
    </x:row>
    <x:row r="52" ht="19" customHeight="1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  <x:c r="Q52" s="6"/>
    </x:row>
    <x:row r="53" ht="19" customHeight="1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  <x:c r="Q53" s="6"/>
    </x:row>
    <x:row r="54" ht="19" customHeight="1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  <x:c r="Q54" s="6"/>
    </x:row>
    <x:row r="55" ht="19" customHeight="1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  <x:c r="Q55" s="6"/>
    </x:row>
    <x:row r="56" ht="19" customHeight="1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  <x:c r="Q56" s="6"/>
    </x:row>
    <x:row r="57" ht="26" customHeight="1">
      <x:c r="A57" s="25" t="str">
        <x:v>Участник 1 | Альтернативы по K4</x:v>
      </x:c>
      <x:c r="B57" s="25"/>
      <x:c r="C57" s="25"/>
      <x:c r="D57" s="25"/>
      <x:c r="E57" s="25"/>
      <x:c r="F57" s="25"/>
      <x:c r="G57" s="25"/>
      <x:c r="H57" s="25"/>
      <x:c r="I57" s="25"/>
      <x:c r="J57" s="6"/>
      <x:c r="K57" s="6"/>
      <x:c r="L57" s="6"/>
      <x:c r="M57" s="6"/>
      <x:c r="N57" s="6"/>
      <x:c r="O57" s="6"/>
      <x:c r="P57" s="6"/>
      <x:c r="Q57" s="6"/>
    </x:row>
    <x:row r="58" ht="30" customHeight="1">
      <x:c r="A58" s="17" t="str">
        <x:v>Объект</x:v>
      </x:c>
      <x:c r="B58" s="17" t="str">
        <x:v>A1</x:v>
      </x:c>
      <x:c r="C58" s="17" t="str">
        <x:v>A2</x:v>
      </x:c>
      <x:c r="D58" s="17" t="str">
        <x:v>A3</x:v>
      </x:c>
      <x:c r="E58" s="17" t="str">
        <x:v>A4</x:v>
      </x:c>
      <x:c r="F58" s="17" t="str">
        <x:v>Геом.</x:v>
      </x:c>
      <x:c r="G58" s="17" t="str">
        <x:v>Приоритет</x:v>
      </x:c>
      <x:c r="H58" s="17" t="str">
        <x:v>(Aw)/w</x:v>
      </x:c>
      <x:c r="I58" s="6"/>
      <x:c r="J58" s="6"/>
      <x:c r="K58" s="6"/>
      <x:c r="L58" s="6"/>
      <x:c r="M58" s="6"/>
      <x:c r="N58" s="6"/>
      <x:c r="O58" s="6"/>
      <x:c r="P58" s="6"/>
      <x:c r="Q58" s="6"/>
    </x:row>
    <x:row r="59" ht="19" customHeight="1">
      <x:c r="A59" s="6" t="str">
        <x:v>A1</x:v>
      </x:c>
      <x:c r="B59" s="34" t="n">
        <x:f>1</x:f>
        <x:v>1</x:v>
      </x:c>
      <x:c r="C59" s="34" t="n">
        <x:f>'МАИ суждения'!E33</x:f>
        <x:v>1</x:v>
      </x:c>
      <x:c r="D59" s="34" t="n">
        <x:f>'МАИ суждения'!E34</x:f>
        <x:v>2</x:v>
      </x:c>
      <x:c r="E59" s="34" t="n">
        <x:f>'МАИ суждения'!E35</x:f>
        <x:v>3</x:v>
      </x:c>
      <x:c r="F59" s="34" t="n">
        <x:f>(PRODUCT(B59:E59))^(1/4)</x:f>
        <x:v>1.5650845800732873</x:v>
      </x:c>
      <x:c r="G59" s="34" t="n">
        <x:f>F59/SUM($F$59:$F$62)</x:f>
        <x:v>0.3511869046381858</x:v>
      </x:c>
      <x:c r="H59" s="34" t="n">
        <x:f>(B59*$G$59+C59*$G$60+D59*$G$61+E59*$G$62)/G59</x:f>
        <x:v>4.005174790925642</x:v>
      </x:c>
      <x:c r="I59" s="34"/>
      <x:c r="J59" s="6"/>
      <x:c r="K59" s="6"/>
      <x:c r="L59" s="6"/>
      <x:c r="M59" s="6"/>
      <x:c r="N59" s="6"/>
      <x:c r="O59" s="6"/>
      <x:c r="P59" s="6"/>
      <x:c r="Q59" s="6"/>
    </x:row>
    <x:row r="60" ht="19" customHeight="1">
      <x:c r="A60" s="6" t="str">
        <x:v>A2</x:v>
      </x:c>
      <x:c r="B60" s="34" t="n">
        <x:f>1/'МАИ суждения'!E33</x:f>
        <x:v>1</x:v>
      </x:c>
      <x:c r="C60" s="34" t="n">
        <x:f>1</x:f>
        <x:v>1</x:v>
      </x:c>
      <x:c r="D60" s="34" t="n">
        <x:f>'МАИ суждения'!E36</x:f>
        <x:v>2</x:v>
      </x:c>
      <x:c r="E60" s="34" t="n">
        <x:f>'МАИ суждения'!E37</x:f>
        <x:v>3</x:v>
      </x:c>
      <x:c r="F60" s="34" t="n">
        <x:f>(PRODUCT(B60:E60))^(1/4)</x:f>
        <x:v>1.5650845800732873</x:v>
      </x:c>
      <x:c r="G60" s="34" t="n">
        <x:f>F60/SUM($F$59:$F$62)</x:f>
        <x:v>0.3511869046381858</x:v>
      </x:c>
      <x:c r="H60" s="34" t="n">
        <x:f>(B60*$G$59+C60*$G$60+D60*$G$61+E60*$G$62)/G60</x:f>
        <x:v>4.005174790925642</x:v>
      </x:c>
      <x:c r="I60" s="34"/>
      <x:c r="J60" s="6"/>
      <x:c r="K60" s="6"/>
      <x:c r="L60" s="6"/>
      <x:c r="M60" s="6"/>
      <x:c r="N60" s="6"/>
      <x:c r="O60" s="6"/>
      <x:c r="P60" s="6"/>
      <x:c r="Q60" s="6"/>
    </x:row>
    <x:row r="61" ht="19" customHeight="1">
      <x:c r="A61" s="6" t="str">
        <x:v>A3</x:v>
      </x:c>
      <x:c r="B61" s="34" t="n">
        <x:f>1/'МАИ суждения'!E34</x:f>
        <x:v>0.5</x:v>
      </x:c>
      <x:c r="C61" s="34" t="n">
        <x:f>1/'МАИ суждения'!E36</x:f>
        <x:v>0.5</x:v>
      </x:c>
      <x:c r="D61" s="34" t="n">
        <x:f>1</x:f>
        <x:v>1</x:v>
      </x:c>
      <x:c r="E61" s="34" t="n">
        <x:f>'МАИ суждения'!E38</x:f>
        <x:v>2</x:v>
      </x:c>
      <x:c r="F61" s="34" t="n">
        <x:f>(PRODUCT(B61:E61))^(1/4)</x:f>
        <x:v>0.8408964152537145</x:v>
      </x:c>
      <x:c r="G61" s="34" t="n">
        <x:f>F61/SUM($F$59:$F$62)</x:f>
        <x:v>0.18868744408718802</x:v>
      </x:c>
      <x:c r="H61" s="34" t="n">
        <x:f>(B61*$G$59+C61*$G$60+D61*$G$61+E61*$G$62)/G61</x:f>
        <x:v>4.015910256583451</x:v>
      </x:c>
      <x:c r="I61" s="34"/>
      <x:c r="J61" s="6"/>
      <x:c r="K61" s="6"/>
      <x:c r="L61" s="6"/>
      <x:c r="M61" s="6"/>
      <x:c r="N61" s="6"/>
      <x:c r="O61" s="6"/>
      <x:c r="P61" s="6"/>
      <x:c r="Q61" s="6"/>
    </x:row>
    <x:row r="62" ht="19" customHeight="1">
      <x:c r="A62" s="6" t="str">
        <x:v>A4</x:v>
      </x:c>
      <x:c r="B62" s="34" t="n">
        <x:f>1/'МАИ суждения'!E35</x:f>
        <x:v>0.3333333333333333</x:v>
      </x:c>
      <x:c r="C62" s="34" t="n">
        <x:f>1/'МАИ суждения'!E37</x:f>
        <x:v>0.3333333333333333</x:v>
      </x:c>
      <x:c r="D62" s="34" t="n">
        <x:f>1/'МАИ суждения'!E38</x:f>
        <x:v>0.5</x:v>
      </x:c>
      <x:c r="E62" s="34" t="n">
        <x:f>1</x:f>
        <x:v>1</x:v>
      </x:c>
      <x:c r="F62" s="34" t="n">
        <x:f>(PRODUCT(B62:E62))^(1/4)</x:f>
        <x:v>0.48549177170732344</x:v>
      </x:c>
      <x:c r="G62" s="34" t="n">
        <x:f>F62/SUM($F$59:$F$62)</x:f>
        <x:v>0.10893874663644047</x:v>
      </x:c>
      <x:c r="H62" s="34" t="n">
        <x:f>(B62*$G$59+C62*$G$60+D62*$G$61+E62*$G$62)/G62</x:f>
        <x:v>4.015165267431523</x:v>
      </x:c>
      <x:c r="I62" s="34"/>
      <x:c r="J62" s="6"/>
      <x:c r="K62" s="6"/>
      <x:c r="L62" s="6"/>
      <x:c r="M62" s="6"/>
      <x:c r="N62" s="6"/>
      <x:c r="O62" s="6"/>
      <x:c r="P62" s="6"/>
      <x:c r="Q62" s="6"/>
    </x:row>
    <x:row r="63" ht="19" customHeight="1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  <x:c r="Q63" s="6"/>
    </x:row>
    <x:row r="64" ht="19" customHeight="1">
      <x:c r="A64" s="32" t="str">
        <x:v>λmax</x:v>
      </x:c>
      <x:c r="B64" s="38" t="n">
        <x:f>AVERAGE(H59:H62)</x:f>
        <x:v>4.010356276466564</x:v>
      </x:c>
      <x:c r="C64" s="32" t="str">
        <x:v>CI</x:v>
      </x:c>
      <x:c r="D64" s="38" t="n">
        <x:f>(B64-4)/(4-1)</x:f>
        <x:v>0.0034520921555213726</x:v>
      </x:c>
      <x:c r="E64" s="32" t="str">
        <x:v>CR</x:v>
      </x:c>
      <x:c r="F64" s="38" t="n">
        <x:f>D64/0.9</x:f>
        <x:v>0.003835657950579303</x:v>
      </x:c>
      <x:c r="G64" s="32" t="str">
        <x:v>Статус</x:v>
      </x:c>
      <x:c r="H64" s="32" t="str">
        <x:f>IF(F64&lt;=0.1,"OK","Пересмотреть")</x:f>
        <x:v>OK</x:v>
      </x:c>
      <x:c r="I64" s="6"/>
      <x:c r="J64" s="6"/>
      <x:c r="K64" s="6"/>
      <x:c r="L64" s="6"/>
      <x:c r="M64" s="6"/>
      <x:c r="N64" s="6"/>
      <x:c r="O64" s="6"/>
      <x:c r="P64" s="6"/>
      <x:c r="Q64" s="6"/>
    </x:row>
    <x:row r="65" ht="19" customHeight="1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</x:row>
    <x:row r="66" ht="19" customHeight="1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  <x:c r="Q66" s="6"/>
    </x:row>
    <x:row r="67" ht="19" customHeight="1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  <x:c r="Q67" s="6"/>
    </x:row>
    <x:row r="68" ht="19" customHeight="1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  <x:c r="Q68" s="6"/>
    </x:row>
    <x:row r="69" ht="19" customHeight="1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  <x:c r="Q69" s="6"/>
    </x:row>
    <x:row r="70" ht="26" customHeight="1">
      <x:c r="A70" s="25" t="str">
        <x:v>Участник 1 | Альтернативы по K5</x:v>
      </x:c>
      <x:c r="B70" s="25"/>
      <x:c r="C70" s="25"/>
      <x:c r="D70" s="25"/>
      <x:c r="E70" s="25"/>
      <x:c r="F70" s="25"/>
      <x:c r="G70" s="25"/>
      <x:c r="H70" s="25"/>
      <x:c r="I70" s="25"/>
      <x:c r="J70" s="6"/>
      <x:c r="K70" s="6"/>
      <x:c r="L70" s="6"/>
      <x:c r="M70" s="6"/>
      <x:c r="N70" s="6"/>
      <x:c r="O70" s="6"/>
      <x:c r="P70" s="6"/>
      <x:c r="Q70" s="6"/>
    </x:row>
    <x:row r="71" ht="30" customHeight="1">
      <x:c r="A71" s="17" t="str">
        <x:v>Объект</x:v>
      </x:c>
      <x:c r="B71" s="17" t="str">
        <x:v>A1</x:v>
      </x:c>
      <x:c r="C71" s="17" t="str">
        <x:v>A2</x:v>
      </x:c>
      <x:c r="D71" s="17" t="str">
        <x:v>A3</x:v>
      </x:c>
      <x:c r="E71" s="17" t="str">
        <x:v>A4</x:v>
      </x:c>
      <x:c r="F71" s="17" t="str">
        <x:v>Геом.</x:v>
      </x:c>
      <x:c r="G71" s="17" t="str">
        <x:v>Приоритет</x:v>
      </x:c>
      <x:c r="H71" s="17" t="str">
        <x:v>(Aw)/w</x:v>
      </x:c>
      <x:c r="I71" s="6"/>
      <x:c r="J71" s="6"/>
      <x:c r="K71" s="6"/>
      <x:c r="L71" s="6"/>
      <x:c r="M71" s="6"/>
      <x:c r="N71" s="6"/>
      <x:c r="O71" s="6"/>
      <x:c r="P71" s="6"/>
      <x:c r="Q71" s="6"/>
    </x:row>
    <x:row r="72" ht="19" customHeight="1">
      <x:c r="A72" s="6" t="str">
        <x:v>A1</x:v>
      </x:c>
      <x:c r="B72" s="34" t="n">
        <x:f>1</x:f>
        <x:v>1</x:v>
      </x:c>
      <x:c r="C72" s="34" t="n">
        <x:f>'МАИ суждения'!E39</x:f>
        <x:v>0.25</x:v>
      </x:c>
      <x:c r="D72" s="34" t="n">
        <x:f>'МАИ суждения'!E40</x:f>
        <x:v>0.5</x:v>
      </x:c>
      <x:c r="E72" s="34" t="n">
        <x:f>'МАИ суждения'!E41</x:f>
        <x:v>0.25</x:v>
      </x:c>
      <x:c r="F72" s="34" t="n">
        <x:f>(PRODUCT(B72:E72))^(1/4)</x:f>
        <x:v>0.42044820762685725</x:v>
      </x:c>
      <x:c r="G72" s="34" t="n">
        <x:f>F72/SUM($F$72:$F$75)</x:f>
        <x:v>0.09090909090909091</x:v>
      </x:c>
      <x:c r="H72" s="34" t="n">
        <x:f>(B72*$G$72+C72*$G$73+D72*$G$74+E72*$G$75)/G72</x:f>
        <x:v>4</x:v>
      </x:c>
      <x:c r="I72" s="34"/>
      <x:c r="J72" s="6"/>
      <x:c r="K72" s="6"/>
      <x:c r="L72" s="6"/>
      <x:c r="M72" s="6"/>
      <x:c r="N72" s="6"/>
      <x:c r="O72" s="6"/>
      <x:c r="P72" s="6"/>
      <x:c r="Q72" s="6"/>
    </x:row>
    <x:row r="73" ht="19" customHeight="1">
      <x:c r="A73" s="6" t="str">
        <x:v>A2</x:v>
      </x:c>
      <x:c r="B73" s="34" t="n">
        <x:f>1/'МАИ суждения'!E39</x:f>
        <x:v>4</x:v>
      </x:c>
      <x:c r="C73" s="34" t="n">
        <x:f>1</x:f>
        <x:v>1</x:v>
      </x:c>
      <x:c r="D73" s="34" t="n">
        <x:f>'МАИ суждения'!E42</x:f>
        <x:v>2</x:v>
      </x:c>
      <x:c r="E73" s="34" t="n">
        <x:f>'МАИ суждения'!E43</x:f>
        <x:v>1</x:v>
      </x:c>
      <x:c r="F73" s="34" t="n">
        <x:f>(PRODUCT(B73:E73))^(1/4)</x:f>
        <x:v>1.681792830507429</x:v>
      </x:c>
      <x:c r="G73" s="34" t="n">
        <x:f>F73/SUM($F$72:$F$75)</x:f>
        <x:v>0.36363636363636365</x:v>
      </x:c>
      <x:c r="H73" s="34" t="n">
        <x:f>(B73*$G$72+C73*$G$73+D73*$G$74+E73*$G$75)/G73</x:f>
        <x:v>4</x:v>
      </x:c>
      <x:c r="I73" s="34"/>
      <x:c r="J73" s="6"/>
      <x:c r="K73" s="6"/>
      <x:c r="L73" s="6"/>
      <x:c r="M73" s="6"/>
      <x:c r="N73" s="6"/>
      <x:c r="O73" s="6"/>
      <x:c r="P73" s="6"/>
      <x:c r="Q73" s="6"/>
    </x:row>
    <x:row r="74" ht="19" customHeight="1">
      <x:c r="A74" s="6" t="str">
        <x:v>A3</x:v>
      </x:c>
      <x:c r="B74" s="34" t="n">
        <x:f>1/'МАИ суждения'!E40</x:f>
        <x:v>2</x:v>
      </x:c>
      <x:c r="C74" s="34" t="n">
        <x:f>1/'МАИ суждения'!E42</x:f>
        <x:v>0.5</x:v>
      </x:c>
      <x:c r="D74" s="34" t="n">
        <x:f>1</x:f>
        <x:v>1</x:v>
      </x:c>
      <x:c r="E74" s="34" t="n">
        <x:f>'МАИ суждения'!E44</x:f>
        <x:v>0.5</x:v>
      </x:c>
      <x:c r="F74" s="34" t="n">
        <x:f>(PRODUCT(B74:E74))^(1/4)</x:f>
        <x:v>0.8408964152537145</x:v>
      </x:c>
      <x:c r="G74" s="34" t="n">
        <x:f>F74/SUM($F$72:$F$75)</x:f>
        <x:v>0.18181818181818182</x:v>
      </x:c>
      <x:c r="H74" s="34" t="n">
        <x:f>(B74*$G$72+C74*$G$73+D74*$G$74+E74*$G$75)/G74</x:f>
        <x:v>4</x:v>
      </x:c>
      <x:c r="I74" s="34"/>
      <x:c r="J74" s="6"/>
      <x:c r="K74" s="6"/>
      <x:c r="L74" s="6"/>
      <x:c r="M74" s="6"/>
      <x:c r="N74" s="6"/>
      <x:c r="O74" s="6"/>
      <x:c r="P74" s="6"/>
      <x:c r="Q74" s="6"/>
    </x:row>
    <x:row r="75" ht="19" customHeight="1">
      <x:c r="A75" s="6" t="str">
        <x:v>A4</x:v>
      </x:c>
      <x:c r="B75" s="34" t="n">
        <x:f>1/'МАИ суждения'!E41</x:f>
        <x:v>4</x:v>
      </x:c>
      <x:c r="C75" s="34" t="n">
        <x:f>1/'МАИ суждения'!E43</x:f>
        <x:v>1</x:v>
      </x:c>
      <x:c r="D75" s="34" t="n">
        <x:f>1/'МАИ суждения'!E44</x:f>
        <x:v>2</x:v>
      </x:c>
      <x:c r="E75" s="34" t="n">
        <x:f>1</x:f>
        <x:v>1</x:v>
      </x:c>
      <x:c r="F75" s="34" t="n">
        <x:f>(PRODUCT(B75:E75))^(1/4)</x:f>
        <x:v>1.681792830507429</x:v>
      </x:c>
      <x:c r="G75" s="34" t="n">
        <x:f>F75/SUM($F$72:$F$75)</x:f>
        <x:v>0.36363636363636365</x:v>
      </x:c>
      <x:c r="H75" s="34" t="n">
        <x:f>(B75*$G$72+C75*$G$73+D75*$G$74+E75*$G$75)/G75</x:f>
        <x:v>4</x:v>
      </x:c>
      <x:c r="I75" s="34"/>
      <x:c r="J75" s="6"/>
      <x:c r="K75" s="6"/>
      <x:c r="L75" s="6"/>
      <x:c r="M75" s="6"/>
      <x:c r="N75" s="6"/>
      <x:c r="O75" s="6"/>
      <x:c r="P75" s="6"/>
      <x:c r="Q75" s="6"/>
    </x:row>
    <x:row r="76" ht="19" customHeight="1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  <x:c r="Q76" s="6"/>
    </x:row>
    <x:row r="77" ht="19" customHeight="1">
      <x:c r="A77" s="32" t="str">
        <x:v>λmax</x:v>
      </x:c>
      <x:c r="B77" s="38" t="n">
        <x:f>AVERAGE(H72:H75)</x:f>
        <x:v>4</x:v>
      </x:c>
      <x:c r="C77" s="32" t="str">
        <x:v>CI</x:v>
      </x:c>
      <x:c r="D77" s="38" t="n">
        <x:f>(B77-4)/(4-1)</x:f>
        <x:v>0</x:v>
      </x:c>
      <x:c r="E77" s="32" t="str">
        <x:v>CR</x:v>
      </x:c>
      <x:c r="F77" s="38" t="n">
        <x:f>D77/0.9</x:f>
        <x:v>0</x:v>
      </x:c>
      <x:c r="G77" s="32" t="str">
        <x:v>Статус</x:v>
      </x:c>
      <x:c r="H77" s="32" t="str">
        <x:f>IF(F77&lt;=0.1,"OK","Пересмотреть")</x:f>
        <x:v>OK</x:v>
      </x:c>
      <x:c r="I77" s="6"/>
      <x:c r="J77" s="6"/>
      <x:c r="K77" s="6"/>
      <x:c r="L77" s="6"/>
      <x:c r="M77" s="6"/>
      <x:c r="N77" s="6"/>
      <x:c r="O77" s="6"/>
      <x:c r="P77" s="6"/>
      <x:c r="Q77" s="6"/>
    </x:row>
    <x:row r="78" ht="19" customHeight="1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  <x:c r="Q78" s="6"/>
    </x:row>
    <x:row r="79" ht="19" customHeight="1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  <x:c r="Q79" s="6"/>
    </x:row>
    <x:row r="80" ht="19" customHeight="1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  <x:c r="Q80" s="6"/>
    </x:row>
    <x:row r="81" ht="19" customHeight="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  <x:c r="Q81" s="6"/>
    </x:row>
    <x:row r="82" ht="19" customHeight="1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  <x:c r="Q82" s="6"/>
    </x:row>
    <x:row r="83" ht="26" customHeight="1">
      <x:c r="A83" s="25" t="str">
        <x:v>Участник 2 | Критерии K1–K5</x:v>
      </x:c>
      <x:c r="B83" s="25"/>
      <x:c r="C83" s="25"/>
      <x:c r="D83" s="25"/>
      <x:c r="E83" s="25"/>
      <x:c r="F83" s="25"/>
      <x:c r="G83" s="25"/>
      <x:c r="H83" s="25"/>
      <x:c r="I83" s="25"/>
      <x:c r="J83" s="6"/>
      <x:c r="K83" s="6"/>
      <x:c r="L83" s="6"/>
      <x:c r="M83" s="6"/>
      <x:c r="N83" s="6"/>
      <x:c r="O83" s="6"/>
      <x:c r="P83" s="6"/>
      <x:c r="Q83" s="6"/>
    </x:row>
    <x:row r="84" ht="30" customHeight="1">
      <x:c r="A84" s="17" t="str">
        <x:v>Объект</x:v>
      </x:c>
      <x:c r="B84" s="17" t="str">
        <x:v>K1</x:v>
      </x:c>
      <x:c r="C84" s="17" t="str">
        <x:v>K2</x:v>
      </x:c>
      <x:c r="D84" s="17" t="str">
        <x:v>K3</x:v>
      </x:c>
      <x:c r="E84" s="17" t="str">
        <x:v>K4</x:v>
      </x:c>
      <x:c r="F84" s="17" t="str">
        <x:v>K5</x:v>
      </x:c>
      <x:c r="G84" s="17" t="str">
        <x:v>Геом.</x:v>
      </x:c>
      <x:c r="H84" s="17" t="str">
        <x:v>Приоритет</x:v>
      </x:c>
      <x:c r="I84" s="17" t="str">
        <x:v>(Aw)/w</x:v>
      </x:c>
      <x:c r="J84" s="6"/>
      <x:c r="K84" s="6"/>
      <x:c r="L84" s="6"/>
      <x:c r="M84" s="6"/>
      <x:c r="N84" s="6"/>
      <x:c r="O84" s="6"/>
      <x:c r="P84" s="6"/>
      <x:c r="Q84" s="6"/>
    </x:row>
    <x:row r="85" ht="19" customHeight="1">
      <x:c r="A85" s="6" t="str">
        <x:v>K1</x:v>
      </x:c>
      <x:c r="B85" s="34" t="n">
        <x:f>1</x:f>
        <x:v>1</x:v>
      </x:c>
      <x:c r="C85" s="34" t="n">
        <x:f>'МАИ суждения'!F5</x:f>
        <x:v>1</x:v>
      </x:c>
      <x:c r="D85" s="34" t="n">
        <x:f>'МАИ суждения'!F6</x:f>
        <x:v>2</x:v>
      </x:c>
      <x:c r="E85" s="34" t="n">
        <x:f>'МАИ суждения'!F7</x:f>
        <x:v>3</x:v>
      </x:c>
      <x:c r="F85" s="34" t="n">
        <x:f>'МАИ суждения'!F8</x:f>
        <x:v>3</x:v>
      </x:c>
      <x:c r="G85" s="34" t="n">
        <x:f>(PRODUCT(B85:F85))^(1/5)</x:f>
        <x:v>1.7826024579660034</x:v>
      </x:c>
      <x:c r="H85" s="34" t="n">
        <x:f>G85/SUM($G$85:$G$89)</x:f>
        <x:v>0.308610263398368</x:v>
      </x:c>
      <x:c r="I85" s="34" t="n">
        <x:f>(B85*$H$85+C85*$H$86+D85*$H$87+E85*$H$88+F85*$H$89)/H85</x:f>
        <x:v>5.04157354465039</x:v>
      </x:c>
      <x:c r="J85" s="6"/>
      <x:c r="K85" s="6"/>
      <x:c r="L85" s="6"/>
      <x:c r="M85" s="6"/>
      <x:c r="N85" s="6"/>
      <x:c r="O85" s="6"/>
      <x:c r="P85" s="6"/>
      <x:c r="Q85" s="6"/>
    </x:row>
    <x:row r="86" ht="19" customHeight="1">
      <x:c r="A86" s="6" t="str">
        <x:v>K2</x:v>
      </x:c>
      <x:c r="B86" s="34" t="n">
        <x:f>1/'МАИ суждения'!F5</x:f>
        <x:v>1</x:v>
      </x:c>
      <x:c r="C86" s="34" t="n">
        <x:f>1</x:f>
        <x:v>1</x:v>
      </x:c>
      <x:c r="D86" s="34" t="n">
        <x:f>'МАИ суждения'!F9</x:f>
        <x:v>2</x:v>
      </x:c>
      <x:c r="E86" s="34" t="n">
        <x:f>'МАИ суждения'!F10</x:f>
        <x:v>3</x:v>
      </x:c>
      <x:c r="F86" s="34" t="n">
        <x:f>'МАИ суждения'!F11</x:f>
        <x:v>4</x:v>
      </x:c>
      <x:c r="G86" s="34" t="n">
        <x:f>(PRODUCT(B86:F86))^(1/5)</x:f>
        <x:v>1.888175022589804</x:v>
      </x:c>
      <x:c r="H86" s="34" t="n">
        <x:f>G86/SUM($G$85:$G$89)</x:f>
        <x:v>0.326887348583905</x:v>
      </x:c>
      <x:c r="I86" s="34" t="n">
        <x:f>(B86*$H$85+C86*$H$86+D86*$H$87+E86*$H$88+F86*$H$89)/H86</x:f>
        <x:v>5.003866291744498</x:v>
      </x:c>
      <x:c r="J86" s="6"/>
      <x:c r="K86" s="6"/>
      <x:c r="L86" s="6"/>
      <x:c r="M86" s="6"/>
      <x:c r="N86" s="6"/>
      <x:c r="O86" s="6"/>
      <x:c r="P86" s="6"/>
      <x:c r="Q86" s="6"/>
    </x:row>
    <x:row r="87" ht="19" customHeight="1">
      <x:c r="A87" s="6" t="str">
        <x:v>K3</x:v>
      </x:c>
      <x:c r="B87" s="34" t="n">
        <x:f>1/'МАИ суждения'!F6</x:f>
        <x:v>0.5</x:v>
      </x:c>
      <x:c r="C87" s="34" t="n">
        <x:f>1/'МАИ суждения'!F9</x:f>
        <x:v>0.5</x:v>
      </x:c>
      <x:c r="D87" s="34" t="n">
        <x:f>1</x:f>
        <x:v>1</x:v>
      </x:c>
      <x:c r="E87" s="34" t="n">
        <x:f>'МАИ суждения'!F12</x:f>
        <x:v>2</x:v>
      </x:c>
      <x:c r="F87" s="34" t="n">
        <x:f>'МАИ суждения'!F13</x:f>
        <x:v>2</x:v>
      </x:c>
      <x:c r="G87" s="34" t="n">
        <x:f>(PRODUCT(B87:F87))^(1/5)</x:f>
        <x:v>1</x:v>
      </x:c>
      <x:c r="H87" s="34" t="n">
        <x:f>G87/SUM($G$85:$G$89)</x:f>
        <x:v>0.17312343647865294</x:v>
      </x:c>
      <x:c r="I87" s="34" t="n">
        <x:f>(B87*$H$85+C87*$H$86+D87*$H$87+E87*$H$88+F87*$H$89)/H87</x:f>
        <x:v>5.04628468171414</x:v>
      </x:c>
      <x:c r="J87" s="6"/>
      <x:c r="K87" s="6"/>
      <x:c r="L87" s="6"/>
      <x:c r="M87" s="6"/>
      <x:c r="N87" s="6"/>
      <x:c r="O87" s="6"/>
      <x:c r="P87" s="6"/>
      <x:c r="Q87" s="6"/>
    </x:row>
    <x:row r="88" ht="19" customHeight="1">
      <x:c r="A88" s="6" t="str">
        <x:v>K4</x:v>
      </x:c>
      <x:c r="B88" s="34" t="n">
        <x:f>1/'МАИ суждения'!F7</x:f>
        <x:v>0.3333333333333333</x:v>
      </x:c>
      <x:c r="C88" s="34" t="n">
        <x:f>1/'МАИ суждения'!F10</x:f>
        <x:v>0.3333333333333333</x:v>
      </x:c>
      <x:c r="D88" s="34" t="n">
        <x:f>1/'МАИ суждения'!F12</x:f>
        <x:v>0.5</x:v>
      </x:c>
      <x:c r="E88" s="34" t="n">
        <x:f>1</x:f>
        <x:v>1</x:v>
      </x:c>
      <x:c r="F88" s="34" t="n">
        <x:f>'МАИ суждения'!F14</x:f>
        <x:v>2</x:v>
      </x:c>
      <x:c r="G88" s="34" t="n">
        <x:f>(PRODUCT(B88:F88))^(1/5)</x:f>
        <x:v>0.6443940149772542</x:v>
      </x:c>
      <x:c r="H88" s="34" t="n">
        <x:f>G88/SUM($G$85:$G$89)</x:f>
        <x:v>0.11155970631913881</x:v>
      </x:c>
      <x:c r="I88" s="34" t="n">
        <x:f>(B88*$H$85+C88*$H$86+D88*$H$87+E88*$H$88+F88*$H$89)/H88</x:f>
        <x:v>5.105718463405837</x:v>
      </x:c>
      <x:c r="J88" s="6"/>
      <x:c r="K88" s="6"/>
      <x:c r="L88" s="6"/>
      <x:c r="M88" s="6"/>
      <x:c r="N88" s="6"/>
      <x:c r="O88" s="6"/>
      <x:c r="P88" s="6"/>
      <x:c r="Q88" s="6"/>
    </x:row>
    <x:row r="89" ht="19" customHeight="1">
      <x:c r="A89" s="6" t="str">
        <x:v>K5</x:v>
      </x:c>
      <x:c r="B89" s="34" t="n">
        <x:f>1/'МАИ суждения'!F8</x:f>
        <x:v>0.3333333333333333</x:v>
      </x:c>
      <x:c r="C89" s="34" t="n">
        <x:f>1/'МАИ суждения'!F11</x:f>
        <x:v>0.25</x:v>
      </x:c>
      <x:c r="D89" s="34" t="n">
        <x:f>1/'МАИ суждения'!F13</x:f>
        <x:v>0.5</x:v>
      </x:c>
      <x:c r="E89" s="34" t="n">
        <x:f>1/'МАИ суждения'!F14</x:f>
        <x:v>0.5</x:v>
      </x:c>
      <x:c r="F89" s="34" t="n">
        <x:f>1</x:f>
        <x:v>1</x:v>
      </x:c>
      <x:c r="G89" s="34" t="n">
        <x:f>(PRODUCT(B89:F89))^(1/5)</x:f>
        <x:v>0.4610539557408639</x:v>
      </x:c>
      <x:c r="H89" s="34" t="n">
        <x:f>G89/SUM($G$85:$G$89)</x:f>
        <x:v>0.07981924521993512</x:v>
      </x:c>
      <x:c r="I89" s="34" t="n">
        <x:f>(B89*$H$85+C89*$H$86+D89*$H$87+E89*$H$88+F89*$H$89)/H89</x:f>
        <x:v>5.095923175463395</x:v>
      </x:c>
      <x:c r="J89" s="6"/>
      <x:c r="K89" s="6"/>
      <x:c r="L89" s="6"/>
      <x:c r="M89" s="6"/>
      <x:c r="N89" s="6"/>
      <x:c r="O89" s="6"/>
      <x:c r="P89" s="6"/>
      <x:c r="Q89" s="6"/>
    </x:row>
    <x:row r="90" ht="19" customHeight="1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  <x:c r="Q90" s="6"/>
    </x:row>
    <x:row r="91" ht="19" customHeight="1">
      <x:c r="A91" s="32" t="str">
        <x:v>λmax</x:v>
      </x:c>
      <x:c r="B91" s="38" t="n">
        <x:f>AVERAGE(I85:I89)</x:f>
        <x:v>5.058673231395652</x:v>
      </x:c>
      <x:c r="C91" s="32" t="str">
        <x:v>CI</x:v>
      </x:c>
      <x:c r="D91" s="38" t="n">
        <x:f>(B91-5)/(5-1)</x:f>
        <x:v>0.014668307848912931</x:v>
      </x:c>
      <x:c r="E91" s="32" t="str">
        <x:v>CR</x:v>
      </x:c>
      <x:c r="F91" s="38" t="n">
        <x:f>D91/1.12</x:f>
        <x:v>0.013096703436529402</x:v>
      </x:c>
      <x:c r="G91" s="32" t="str">
        <x:v>Статус</x:v>
      </x:c>
      <x:c r="H91" s="32" t="str">
        <x:f>IF(F91&lt;=0.1,"OK","Пересмотреть")</x:f>
        <x:v>OK</x:v>
      </x:c>
      <x:c r="I91" s="6"/>
      <x:c r="J91" s="6"/>
      <x:c r="K91" s="6"/>
      <x:c r="L91" s="6"/>
      <x:c r="M91" s="6"/>
      <x:c r="N91" s="6"/>
      <x:c r="O91" s="6"/>
      <x:c r="P91" s="6"/>
      <x:c r="Q91" s="6"/>
    </x:row>
    <x:row r="92" ht="19" customHeight="1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  <x:c r="Q92" s="6"/>
    </x:row>
    <x:row r="93" ht="19" customHeight="1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  <x:c r="Q93" s="6"/>
    </x:row>
    <x:row r="94" ht="19" customHeight="1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  <x:c r="Q94" s="6"/>
    </x:row>
    <x:row r="95" ht="19" customHeight="1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  <x:c r="Q95" s="6"/>
    </x:row>
    <x:row r="96" ht="26" customHeight="1">
      <x:c r="A96" s="25" t="str">
        <x:v>Участник 2 | Альтернативы по K1</x:v>
      </x:c>
      <x:c r="B96" s="25"/>
      <x:c r="C96" s="25"/>
      <x:c r="D96" s="25"/>
      <x:c r="E96" s="25"/>
      <x:c r="F96" s="25"/>
      <x:c r="G96" s="25"/>
      <x:c r="H96" s="25"/>
      <x:c r="I96" s="25"/>
      <x:c r="J96" s="6"/>
      <x:c r="K96" s="6"/>
      <x:c r="L96" s="6"/>
      <x:c r="M96" s="6"/>
      <x:c r="N96" s="6"/>
      <x:c r="O96" s="6"/>
      <x:c r="P96" s="6"/>
      <x:c r="Q96" s="6"/>
    </x:row>
    <x:row r="97" ht="30" customHeight="1">
      <x:c r="A97" s="17" t="str">
        <x:v>Объект</x:v>
      </x:c>
      <x:c r="B97" s="17" t="str">
        <x:v>A1</x:v>
      </x:c>
      <x:c r="C97" s="17" t="str">
        <x:v>A2</x:v>
      </x:c>
      <x:c r="D97" s="17" t="str">
        <x:v>A3</x:v>
      </x:c>
      <x:c r="E97" s="17" t="str">
        <x:v>A4</x:v>
      </x:c>
      <x:c r="F97" s="17" t="str">
        <x:v>Геом.</x:v>
      </x:c>
      <x:c r="G97" s="17" t="str">
        <x:v>Приоритет</x:v>
      </x:c>
      <x:c r="H97" s="17" t="str">
        <x:v>(Aw)/w</x:v>
      </x:c>
      <x:c r="I97" s="6"/>
      <x:c r="J97" s="6"/>
      <x:c r="K97" s="6"/>
      <x:c r="L97" s="6"/>
      <x:c r="M97" s="6"/>
      <x:c r="N97" s="6"/>
      <x:c r="O97" s="6"/>
      <x:c r="P97" s="6"/>
      <x:c r="Q97" s="6"/>
    </x:row>
    <x:row r="98" ht="19" customHeight="1">
      <x:c r="A98" s="6" t="str">
        <x:v>A1</x:v>
      </x:c>
      <x:c r="B98" s="34" t="n">
        <x:f>1</x:f>
        <x:v>1</x:v>
      </x:c>
      <x:c r="C98" s="34" t="n">
        <x:f>'МАИ суждения'!F15</x:f>
        <x:v>0.5</x:v>
      </x:c>
      <x:c r="D98" s="34" t="n">
        <x:f>'МАИ суждения'!F16</x:f>
        <x:v>1</x:v>
      </x:c>
      <x:c r="E98" s="34" t="n">
        <x:f>'МАИ суждения'!F17</x:f>
        <x:v>0.5</x:v>
      </x:c>
      <x:c r="F98" s="34" t="n">
        <x:f>(PRODUCT(B98:E98))^(1/4)</x:f>
        <x:v>0.7071067811865476</x:v>
      </x:c>
      <x:c r="G98" s="34" t="n">
        <x:f>F98/SUM($F$98:$F$101)</x:f>
        <x:v>0.16083524030527072</x:v>
      </x:c>
      <x:c r="H98" s="34" t="n">
        <x:f>(B98*$G$98+C98*$G$99+D98*$G$100+E98*$G$101)/G98</x:f>
        <x:v>4.060572431816051</x:v>
      </x:c>
      <x:c r="I98" s="34"/>
      <x:c r="J98" s="6"/>
      <x:c r="K98" s="6"/>
      <x:c r="L98" s="6"/>
      <x:c r="M98" s="6"/>
      <x:c r="N98" s="6"/>
      <x:c r="O98" s="6"/>
      <x:c r="P98" s="6"/>
      <x:c r="Q98" s="6"/>
    </x:row>
    <x:row r="99" ht="19" customHeight="1">
      <x:c r="A99" s="6" t="str">
        <x:v>A2</x:v>
      </x:c>
      <x:c r="B99" s="34" t="n">
        <x:f>1/'МАИ суждения'!F15</x:f>
        <x:v>2</x:v>
      </x:c>
      <x:c r="C99" s="34" t="n">
        <x:f>1</x:f>
        <x:v>1</x:v>
      </x:c>
      <x:c r="D99" s="34" t="n">
        <x:f>'МАИ суждения'!F18</x:f>
        <x:v>3</x:v>
      </x:c>
      <x:c r="E99" s="34" t="n">
        <x:f>'МАИ суждения'!F19</x:f>
        <x:v>2</x:v>
      </x:c>
      <x:c r="F99" s="34" t="n">
        <x:f>(PRODUCT(B99:E99))^(1/4)</x:f>
        <x:v>1.8612097182041991</x:v>
      </x:c>
      <x:c r="G99" s="34" t="n">
        <x:f>F99/SUM($F$98:$F$101)</x:f>
        <x:v>0.4233421602654721</x:v>
      </x:c>
      <x:c r="H99" s="34" t="n">
        <x:f>(B99*$G$98+C99*$G$99+D99*$G$100+E99*$G$101)/G99</x:f>
        <x:v>4.067605466097697</x:v>
      </x:c>
      <x:c r="I99" s="34"/>
      <x:c r="J99" s="6"/>
      <x:c r="K99" s="6"/>
      <x:c r="L99" s="6"/>
      <x:c r="M99" s="6"/>
      <x:c r="N99" s="6"/>
      <x:c r="O99" s="6"/>
      <x:c r="P99" s="6"/>
      <x:c r="Q99" s="6"/>
    </x:row>
    <x:row r="100" ht="19" customHeight="1">
      <x:c r="A100" s="6" t="str">
        <x:v>A3</x:v>
      </x:c>
      <x:c r="B100" s="34" t="n">
        <x:f>1/'МАИ суждения'!F16</x:f>
        <x:v>1</x:v>
      </x:c>
      <x:c r="C100" s="34" t="n">
        <x:f>1/'МАИ суждения'!F18</x:f>
        <x:v>0.3333333333333333</x:v>
      </x:c>
      <x:c r="D100" s="34" t="n">
        <x:f>1</x:f>
        <x:v>1</x:v>
      </x:c>
      <x:c r="E100" s="34" t="n">
        <x:f>'МАИ суждения'!F20</x:f>
        <x:v>0.5</x:v>
      </x:c>
      <x:c r="F100" s="34" t="n">
        <x:f>(PRODUCT(B100:E100))^(1/4)</x:f>
        <x:v>0.6389431042462724</x:v>
      </x:c>
      <x:c r="G100" s="34" t="n">
        <x:f>F100/SUM($F$98:$F$101)</x:f>
        <x:v>0.14533104539091346</x:v>
      </x:c>
      <x:c r="H100" s="34" t="n">
        <x:f>(B100*$G$98+C100*$G$99+D100*$G$100+E100*$G$101)/G100</x:f>
        <x:v>4.008270322217069</x:v>
      </x:c>
      <x:c r="I100" s="34"/>
      <x:c r="J100" s="6"/>
      <x:c r="K100" s="6"/>
      <x:c r="L100" s="6"/>
      <x:c r="M100" s="6"/>
      <x:c r="N100" s="6"/>
      <x:c r="O100" s="6"/>
      <x:c r="P100" s="6"/>
      <x:c r="Q100" s="6"/>
    </x:row>
    <x:row r="101" ht="19" customHeight="1">
      <x:c r="A101" s="6" t="str">
        <x:v>A4</x:v>
      </x:c>
      <x:c r="B101" s="34" t="n">
        <x:f>1/'МАИ суждения'!F17</x:f>
        <x:v>2</x:v>
      </x:c>
      <x:c r="C101" s="34" t="n">
        <x:f>1/'МАИ суждения'!F19</x:f>
        <x:v>0.5</x:v>
      </x:c>
      <x:c r="D101" s="34" t="n">
        <x:f>1/'МАИ суждения'!F20</x:f>
        <x:v>2</x:v>
      </x:c>
      <x:c r="E101" s="34" t="n">
        <x:f>1</x:f>
        <x:v>1</x:v>
      </x:c>
      <x:c r="F101" s="34" t="n">
        <x:f>(PRODUCT(B101:E101))^(1/4)</x:f>
        <x:v>1.189207115002721</x:v>
      </x:c>
      <x:c r="G101" s="34" t="n">
        <x:f>F101/SUM($F$98:$F$101)</x:f>
        <x:v>0.27049155403834374</x:v>
      </x:c>
      <x:c r="H101" s="34" t="n">
        <x:f>(B101*$G$98+C101*$G$99+D101*$G$100+E101*$G$101)/G101</x:f>
        <x:v>4.046319336862906</x:v>
      </x:c>
      <x:c r="I101" s="34"/>
      <x:c r="J101" s="6"/>
      <x:c r="K101" s="6"/>
      <x:c r="L101" s="6"/>
      <x:c r="M101" s="6"/>
      <x:c r="N101" s="6"/>
      <x:c r="O101" s="6"/>
      <x:c r="P101" s="6"/>
      <x:c r="Q101" s="6"/>
    </x:row>
    <x:row r="102" ht="19" customHeight="1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  <x:c r="M102" s="6"/>
      <x:c r="N102" s="6"/>
      <x:c r="O102" s="6"/>
      <x:c r="P102" s="6"/>
      <x:c r="Q102" s="6"/>
    </x:row>
    <x:row r="103" ht="19" customHeight="1">
      <x:c r="A103" s="32" t="str">
        <x:v>λmax</x:v>
      </x:c>
      <x:c r="B103" s="38" t="n">
        <x:f>AVERAGE(H98:H101)</x:f>
        <x:v>4.045691889248431</x:v>
      </x:c>
      <x:c r="C103" s="32" t="str">
        <x:v>CI</x:v>
      </x:c>
      <x:c r="D103" s="38" t="n">
        <x:f>(B103-4)/(4-1)</x:f>
        <x:v>0.015230629749477012</x:v>
      </x:c>
      <x:c r="E103" s="32" t="str">
        <x:v>CR</x:v>
      </x:c>
      <x:c r="F103" s="38" t="n">
        <x:f>D103/0.9</x:f>
        <x:v>0.016922921943863346</x:v>
      </x:c>
      <x:c r="G103" s="32" t="str">
        <x:v>Статус</x:v>
      </x:c>
      <x:c r="H103" s="32" t="str">
        <x:f>IF(F103&lt;=0.1,"OK","Пересмотреть")</x:f>
        <x:v>OK</x:v>
      </x:c>
      <x:c r="I103" s="6"/>
      <x:c r="J103" s="6"/>
      <x:c r="K103" s="6"/>
      <x:c r="L103" s="6"/>
      <x:c r="M103" s="6"/>
      <x:c r="N103" s="6"/>
      <x:c r="O103" s="6"/>
      <x:c r="P103" s="6"/>
      <x:c r="Q103" s="6"/>
    </x:row>
    <x:row r="104" ht="19" customHeight="1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  <x:c r="M104" s="6"/>
      <x:c r="N104" s="6"/>
      <x:c r="O104" s="6"/>
      <x:c r="P104" s="6"/>
      <x:c r="Q104" s="6"/>
    </x:row>
    <x:row r="105" ht="19" customHeight="1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  <x:c r="M105" s="6"/>
      <x:c r="N105" s="6"/>
      <x:c r="O105" s="6"/>
      <x:c r="P105" s="6"/>
      <x:c r="Q105" s="6"/>
    </x:row>
    <x:row r="106" ht="19" customHeight="1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  <x:c r="M106" s="6"/>
      <x:c r="N106" s="6"/>
      <x:c r="O106" s="6"/>
      <x:c r="P106" s="6"/>
      <x:c r="Q106" s="6"/>
    </x:row>
    <x:row r="107" ht="19" customHeight="1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  <x:c r="M107" s="6"/>
      <x:c r="N107" s="6"/>
      <x:c r="O107" s="6"/>
      <x:c r="P107" s="6"/>
      <x:c r="Q107" s="6"/>
    </x:row>
    <x:row r="108" ht="19" customHeight="1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  <x:c r="M108" s="6"/>
      <x:c r="N108" s="6"/>
      <x:c r="O108" s="6"/>
      <x:c r="P108" s="6"/>
      <x:c r="Q108" s="6"/>
    </x:row>
    <x:row r="109" ht="26" customHeight="1">
      <x:c r="A109" s="25" t="str">
        <x:v>Участник 2 | Альтернативы по K2</x:v>
      </x:c>
      <x:c r="B109" s="25"/>
      <x:c r="C109" s="25"/>
      <x:c r="D109" s="25"/>
      <x:c r="E109" s="25"/>
      <x:c r="F109" s="25"/>
      <x:c r="G109" s="25"/>
      <x:c r="H109" s="25"/>
      <x:c r="I109" s="25"/>
      <x:c r="J109" s="6"/>
      <x:c r="K109" s="6"/>
      <x:c r="L109" s="6"/>
      <x:c r="M109" s="6"/>
      <x:c r="N109" s="6"/>
      <x:c r="O109" s="6"/>
      <x:c r="P109" s="6"/>
      <x:c r="Q109" s="6"/>
    </x:row>
    <x:row r="110" ht="30" customHeight="1">
      <x:c r="A110" s="17" t="str">
        <x:v>Объект</x:v>
      </x:c>
      <x:c r="B110" s="17" t="str">
        <x:v>A1</x:v>
      </x:c>
      <x:c r="C110" s="17" t="str">
        <x:v>A2</x:v>
      </x:c>
      <x:c r="D110" s="17" t="str">
        <x:v>A3</x:v>
      </x:c>
      <x:c r="E110" s="17" t="str">
        <x:v>A4</x:v>
      </x:c>
      <x:c r="F110" s="17" t="str">
        <x:v>Геом.</x:v>
      </x:c>
      <x:c r="G110" s="17" t="str">
        <x:v>Приоритет</x:v>
      </x:c>
      <x:c r="H110" s="17" t="str">
        <x:v>(Aw)/w</x:v>
      </x:c>
      <x:c r="I110" s="6"/>
      <x:c r="J110" s="6"/>
      <x:c r="K110" s="6"/>
      <x:c r="L110" s="6"/>
      <x:c r="M110" s="6"/>
      <x:c r="N110" s="6"/>
      <x:c r="O110" s="6"/>
      <x:c r="P110" s="6"/>
      <x:c r="Q110" s="6"/>
    </x:row>
    <x:row r="111" ht="19" customHeight="1">
      <x:c r="A111" s="6" t="str">
        <x:v>A1</x:v>
      </x:c>
      <x:c r="B111" s="34" t="n">
        <x:f>1</x:f>
        <x:v>1</x:v>
      </x:c>
      <x:c r="C111" s="34" t="n">
        <x:f>'МАИ суждения'!F21</x:f>
        <x:v>2</x:v>
      </x:c>
      <x:c r="D111" s="34" t="n">
        <x:f>'МАИ суждения'!F22</x:f>
        <x:v>1</x:v>
      </x:c>
      <x:c r="E111" s="34" t="n">
        <x:f>'МАИ суждения'!F23</x:f>
        <x:v>4</x:v>
      </x:c>
      <x:c r="F111" s="34" t="n">
        <x:f>(PRODUCT(B111:E111))^(1/4)</x:f>
        <x:v>1.681792830507429</x:v>
      </x:c>
      <x:c r="G111" s="34" t="n">
        <x:f>F111/SUM($F$111:$F$114)</x:f>
        <x:v>0.3598104065881338</x:v>
      </x:c>
      <x:c r="H111" s="34" t="n">
        <x:f>(B111*$G$111+C111*$G$112+D111*$G$113+E111*$G$114)/G111</x:f>
        <x:v>4.010283923310167</x:v>
      </x:c>
      <x:c r="I111" s="34"/>
      <x:c r="J111" s="6"/>
      <x:c r="K111" s="6"/>
      <x:c r="L111" s="6"/>
      <x:c r="M111" s="6"/>
      <x:c r="N111" s="6"/>
      <x:c r="O111" s="6"/>
      <x:c r="P111" s="6"/>
      <x:c r="Q111" s="6"/>
    </x:row>
    <x:row r="112" ht="19" customHeight="1">
      <x:c r="A112" s="6" t="str">
        <x:v>A2</x:v>
      </x:c>
      <x:c r="B112" s="34" t="n">
        <x:f>1/'МАИ суждения'!F21</x:f>
        <x:v>0.5</x:v>
      </x:c>
      <x:c r="C112" s="34" t="n">
        <x:f>1</x:f>
        <x:v>1</x:v>
      </x:c>
      <x:c r="D112" s="34" t="n">
        <x:f>'МАИ суждения'!F24</x:f>
        <x:v>0.5</x:v>
      </x:c>
      <x:c r="E112" s="34" t="n">
        <x:f>'МАИ суждения'!F25</x:f>
        <x:v>3</x:v>
      </x:c>
      <x:c r="F112" s="34" t="n">
        <x:f>(PRODUCT(B112:E112))^(1/4)</x:f>
        <x:v>0.9306048591020996</x:v>
      </x:c>
      <x:c r="G112" s="34" t="n">
        <x:f>F112/SUM($F$111:$F$114)</x:f>
        <x:v>0.1990978357455546</x:v>
      </x:c>
      <x:c r="H112" s="34" t="n">
        <x:f>(B112*$G$111+C112*$G$112+D112*$G$113+E112*$G$114)/G112</x:f>
        <x:v>4.031948878611279</x:v>
      </x:c>
      <x:c r="I112" s="34"/>
      <x:c r="J112" s="6"/>
      <x:c r="K112" s="6"/>
      <x:c r="L112" s="6"/>
      <x:c r="M112" s="6"/>
      <x:c r="N112" s="6"/>
      <x:c r="O112" s="6"/>
      <x:c r="P112" s="6"/>
      <x:c r="Q112" s="6"/>
    </x:row>
    <x:row r="113" ht="19" customHeight="1">
      <x:c r="A113" s="6" t="str">
        <x:v>A3</x:v>
      </x:c>
      <x:c r="B113" s="34" t="n">
        <x:f>1/'МАИ суждения'!F22</x:f>
        <x:v>1</x:v>
      </x:c>
      <x:c r="C113" s="34" t="n">
        <x:f>1/'МАИ суждения'!F24</x:f>
        <x:v>2</x:v>
      </x:c>
      <x:c r="D113" s="34" t="n">
        <x:f>1</x:f>
        <x:v>1</x:v>
      </x:c>
      <x:c r="E113" s="34" t="n">
        <x:f>'МАИ суждения'!F26</x:f>
        <x:v>4</x:v>
      </x:c>
      <x:c r="F113" s="34" t="n">
        <x:f>(PRODUCT(B113:E113))^(1/4)</x:f>
        <x:v>1.681792830507429</x:v>
      </x:c>
      <x:c r="G113" s="34" t="n">
        <x:f>F113/SUM($F$111:$F$114)</x:f>
        <x:v>0.3598104065881338</x:v>
      </x:c>
      <x:c r="H113" s="34" t="n">
        <x:f>(B113*$G$111+C113*$G$112+D113*$G$113+E113*$G$114)/G113</x:f>
        <x:v>4.010283923310167</x:v>
      </x:c>
      <x:c r="I113" s="34"/>
      <x:c r="J113" s="6"/>
      <x:c r="K113" s="6"/>
      <x:c r="L113" s="6"/>
      <x:c r="M113" s="6"/>
      <x:c r="N113" s="6"/>
      <x:c r="O113" s="6"/>
      <x:c r="P113" s="6"/>
      <x:c r="Q113" s="6"/>
    </x:row>
    <x:row r="114" ht="19" customHeight="1">
      <x:c r="A114" s="6" t="str">
        <x:v>A4</x:v>
      </x:c>
      <x:c r="B114" s="34" t="n">
        <x:f>1/'МАИ суждения'!F23</x:f>
        <x:v>0.25</x:v>
      </x:c>
      <x:c r="C114" s="34" t="n">
        <x:f>1/'МАИ суждения'!F25</x:f>
        <x:v>0.3333333333333333</x:v>
      </x:c>
      <x:c r="D114" s="34" t="n">
        <x:f>1/'МАИ суждения'!F26</x:f>
        <x:v>0.25</x:v>
      </x:c>
      <x:c r="E114" s="34" t="n">
        <x:f>1</x:f>
        <x:v>1</x:v>
      </x:c>
      <x:c r="F114" s="34" t="n">
        <x:f>(PRODUCT(B114:E114))^(1/4)</x:f>
        <x:v>0.37991784282579627</x:v>
      </x:c>
      <x:c r="G114" s="34" t="n">
        <x:f>F114/SUM($F$111:$F$114)</x:f>
        <x:v>0.08128135107817766</x:v>
      </x:c>
      <x:c r="H114" s="34" t="n">
        <x:f>(B114*$G$111+C114*$G$112+D114*$G$113+E114*$G$114)/G114</x:f>
        <x:v>4.029860420328369</x:v>
      </x:c>
      <x:c r="I114" s="34"/>
      <x:c r="J114" s="6"/>
      <x:c r="K114" s="6"/>
      <x:c r="L114" s="6"/>
      <x:c r="M114" s="6"/>
      <x:c r="N114" s="6"/>
      <x:c r="O114" s="6"/>
      <x:c r="P114" s="6"/>
      <x:c r="Q114" s="6"/>
    </x:row>
    <x:row r="115" ht="19" customHeight="1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  <x:c r="M115" s="6"/>
      <x:c r="N115" s="6"/>
      <x:c r="O115" s="6"/>
      <x:c r="P115" s="6"/>
      <x:c r="Q115" s="6"/>
    </x:row>
    <x:row r="116" ht="19" customHeight="1">
      <x:c r="A116" s="32" t="str">
        <x:v>λmax</x:v>
      </x:c>
      <x:c r="B116" s="38" t="n">
        <x:f>AVERAGE(H111:H114)</x:f>
        <x:v>4.020594286389995</x:v>
      </x:c>
      <x:c r="C116" s="32" t="str">
        <x:v>CI</x:v>
      </x:c>
      <x:c r="D116" s="38" t="n">
        <x:f>(B116-4)/(4-1)</x:f>
        <x:v>0.006864762129998425</x:v>
      </x:c>
      <x:c r="E116" s="32" t="str">
        <x:v>CR</x:v>
      </x:c>
      <x:c r="F116" s="38" t="n">
        <x:f>D116/0.9</x:f>
        <x:v>0.007627513477776028</x:v>
      </x:c>
      <x:c r="G116" s="32" t="str">
        <x:v>Статус</x:v>
      </x:c>
      <x:c r="H116" s="32" t="str">
        <x:f>IF(F116&lt;=0.1,"OK","Пересмотреть")</x:f>
        <x:v>OK</x:v>
      </x:c>
      <x:c r="I116" s="6"/>
      <x:c r="J116" s="6"/>
      <x:c r="K116" s="6"/>
      <x:c r="L116" s="6"/>
      <x:c r="M116" s="6"/>
      <x:c r="N116" s="6"/>
      <x:c r="O116" s="6"/>
      <x:c r="P116" s="6"/>
      <x:c r="Q116" s="6"/>
    </x:row>
    <x:row r="117" ht="19" customHeight="1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  <x:c r="M117" s="6"/>
      <x:c r="N117" s="6"/>
      <x:c r="O117" s="6"/>
      <x:c r="P117" s="6"/>
      <x:c r="Q117" s="6"/>
    </x:row>
    <x:row r="118" ht="19" customHeight="1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  <x:c r="M118" s="6"/>
      <x:c r="N118" s="6"/>
      <x:c r="O118" s="6"/>
      <x:c r="P118" s="6"/>
      <x:c r="Q118" s="6"/>
    </x:row>
    <x:row r="119" ht="19" customHeight="1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  <x:c r="M119" s="6"/>
      <x:c r="N119" s="6"/>
      <x:c r="O119" s="6"/>
      <x:c r="P119" s="6"/>
      <x:c r="Q119" s="6"/>
    </x:row>
    <x:row r="120" ht="19" customHeight="1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  <x:c r="M120" s="6"/>
      <x:c r="N120" s="6"/>
      <x:c r="O120" s="6"/>
      <x:c r="P120" s="6"/>
      <x:c r="Q120" s="6"/>
    </x:row>
    <x:row r="121" ht="19" customHeight="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  <x:c r="M121" s="6"/>
      <x:c r="N121" s="6"/>
      <x:c r="O121" s="6"/>
      <x:c r="P121" s="6"/>
      <x:c r="Q121" s="6"/>
    </x:row>
    <x:row r="122" ht="26" customHeight="1">
      <x:c r="A122" s="25" t="str">
        <x:v>Участник 2 | Альтернативы по K3</x:v>
      </x:c>
      <x:c r="B122" s="25"/>
      <x:c r="C122" s="25"/>
      <x:c r="D122" s="25"/>
      <x:c r="E122" s="25"/>
      <x:c r="F122" s="25"/>
      <x:c r="G122" s="25"/>
      <x:c r="H122" s="25"/>
      <x:c r="I122" s="25"/>
      <x:c r="J122" s="6"/>
      <x:c r="K122" s="6"/>
      <x:c r="L122" s="6"/>
      <x:c r="M122" s="6"/>
      <x:c r="N122" s="6"/>
      <x:c r="O122" s="6"/>
      <x:c r="P122" s="6"/>
      <x:c r="Q122" s="6"/>
    </x:row>
    <x:row r="123" ht="30" customHeight="1">
      <x:c r="A123" s="17" t="str">
        <x:v>Объект</x:v>
      </x:c>
      <x:c r="B123" s="17" t="str">
        <x:v>A1</x:v>
      </x:c>
      <x:c r="C123" s="17" t="str">
        <x:v>A2</x:v>
      </x:c>
      <x:c r="D123" s="17" t="str">
        <x:v>A3</x:v>
      </x:c>
      <x:c r="E123" s="17" t="str">
        <x:v>A4</x:v>
      </x:c>
      <x:c r="F123" s="17" t="str">
        <x:v>Геом.</x:v>
      </x:c>
      <x:c r="G123" s="17" t="str">
        <x:v>Приоритет</x:v>
      </x:c>
      <x:c r="H123" s="17" t="str">
        <x:v>(Aw)/w</x:v>
      </x:c>
      <x:c r="I123" s="6"/>
      <x:c r="J123" s="6"/>
      <x:c r="K123" s="6"/>
      <x:c r="L123" s="6"/>
      <x:c r="M123" s="6"/>
      <x:c r="N123" s="6"/>
      <x:c r="O123" s="6"/>
      <x:c r="P123" s="6"/>
      <x:c r="Q123" s="6"/>
    </x:row>
    <x:row r="124" ht="19" customHeight="1">
      <x:c r="A124" s="6" t="str">
        <x:v>A1</x:v>
      </x:c>
      <x:c r="B124" s="34" t="n">
        <x:f>1</x:f>
        <x:v>1</x:v>
      </x:c>
      <x:c r="C124" s="34" t="n">
        <x:f>'МАИ суждения'!F27</x:f>
        <x:v>1</x:v>
      </x:c>
      <x:c r="D124" s="34" t="n">
        <x:f>'МАИ суждения'!F28</x:f>
        <x:v>2</x:v>
      </x:c>
      <x:c r="E124" s="34" t="n">
        <x:f>'МАИ суждения'!F29</x:f>
        <x:v>3</x:v>
      </x:c>
      <x:c r="F124" s="34" t="n">
        <x:f>(PRODUCT(B124:E124))^(1/4)</x:f>
        <x:v>1.5650845800732873</x:v>
      </x:c>
      <x:c r="G124" s="34" t="n">
        <x:f>F124/SUM($F$124:$F$127)</x:f>
        <x:v>0.34476457366540525</x:v>
      </x:c>
      <x:c r="H124" s="34" t="n">
        <x:f>(B124*$G$124+C124*$G$125+D124*$G$126+E124*$G$127)/G124</x:f>
        <x:v>4.015165267431523</x:v>
      </x:c>
      <x:c r="I124" s="34"/>
      <x:c r="J124" s="6"/>
      <x:c r="K124" s="6"/>
      <x:c r="L124" s="6"/>
      <x:c r="M124" s="6"/>
      <x:c r="N124" s="6"/>
      <x:c r="O124" s="6"/>
      <x:c r="P124" s="6"/>
      <x:c r="Q124" s="6"/>
    </x:row>
    <x:row r="125" ht="19" customHeight="1">
      <x:c r="A125" s="6" t="str">
        <x:v>A2</x:v>
      </x:c>
      <x:c r="B125" s="34" t="n">
        <x:f>1/'МАИ суждения'!F27</x:f>
        <x:v>1</x:v>
      </x:c>
      <x:c r="C125" s="34" t="n">
        <x:f>1</x:f>
        <x:v>1</x:v>
      </x:c>
      <x:c r="D125" s="34" t="n">
        <x:f>'МАИ суждения'!F30</x:f>
        <x:v>2</x:v>
      </x:c>
      <x:c r="E125" s="34" t="n">
        <x:f>'МАИ суждения'!F31</x:f>
        <x:v>4</x:v>
      </x:c>
      <x:c r="F125" s="34" t="n">
        <x:f>(PRODUCT(B125:E125))^(1/4)</x:f>
        <x:v>1.681792830507429</x:v>
      </x:c>
      <x:c r="G125" s="34" t="n">
        <x:f>F125/SUM($F$124:$F$127)</x:f>
        <x:v>0.37047364441880704</x:v>
      </x:c>
      <x:c r="H125" s="34" t="n">
        <x:f>(B125*$G$124+C125*$G$125+D125*$G$126+E125*$G$127)/G125</x:f>
        <x:v>4.005174790925642</x:v>
      </x:c>
      <x:c r="I125" s="34"/>
      <x:c r="J125" s="6"/>
      <x:c r="K125" s="6"/>
      <x:c r="L125" s="6"/>
      <x:c r="M125" s="6"/>
      <x:c r="N125" s="6"/>
      <x:c r="O125" s="6"/>
      <x:c r="P125" s="6"/>
      <x:c r="Q125" s="6"/>
    </x:row>
    <x:row r="126" ht="19" customHeight="1">
      <x:c r="A126" s="6" t="str">
        <x:v>A3</x:v>
      </x:c>
      <x:c r="B126" s="34" t="n">
        <x:f>1/'МАИ суждения'!F28</x:f>
        <x:v>0.5</x:v>
      </x:c>
      <x:c r="C126" s="34" t="n">
        <x:f>1/'МАИ суждения'!F30</x:f>
        <x:v>0.5</x:v>
      </x:c>
      <x:c r="D126" s="34" t="n">
        <x:f>1</x:f>
        <x:v>1</x:v>
      </x:c>
      <x:c r="E126" s="34" t="n">
        <x:f>'МАИ суждения'!F32</x:f>
        <x:v>2</x:v>
      </x:c>
      <x:c r="F126" s="34" t="n">
        <x:f>(PRODUCT(B126:E126))^(1/4)</x:f>
        <x:v>0.8408964152537145</x:v>
      </x:c>
      <x:c r="G126" s="34" t="n">
        <x:f>F126/SUM($F$124:$F$127)</x:f>
        <x:v>0.18523682220940352</x:v>
      </x:c>
      <x:c r="H126" s="34" t="n">
        <x:f>(B126*$G$124+C126*$G$125+D126*$G$126+E126*$G$127)/G126</x:f>
        <x:v>4.005174790925642</x:v>
      </x:c>
      <x:c r="I126" s="34"/>
      <x:c r="J126" s="6"/>
      <x:c r="K126" s="6"/>
      <x:c r="L126" s="6"/>
      <x:c r="M126" s="6"/>
      <x:c r="N126" s="6"/>
      <x:c r="O126" s="6"/>
      <x:c r="P126" s="6"/>
      <x:c r="Q126" s="6"/>
    </x:row>
    <x:row r="127" ht="19" customHeight="1">
      <x:c r="A127" s="6" t="str">
        <x:v>A4</x:v>
      </x:c>
      <x:c r="B127" s="34" t="n">
        <x:f>1/'МАИ суждения'!F29</x:f>
        <x:v>0.3333333333333333</x:v>
      </x:c>
      <x:c r="C127" s="34" t="n">
        <x:f>1/'МАИ суждения'!F31</x:f>
        <x:v>0.25</x:v>
      </x:c>
      <x:c r="D127" s="34" t="n">
        <x:f>1/'МАИ суждения'!F32</x:f>
        <x:v>0.5</x:v>
      </x:c>
      <x:c r="E127" s="34" t="n">
        <x:f>1</x:f>
        <x:v>1</x:v>
      </x:c>
      <x:c r="F127" s="34" t="n">
        <x:f>(PRODUCT(B127:E127))^(1/4)</x:f>
        <x:v>0.4518010018049224</x:v>
      </x:c>
      <x:c r="G127" s="34" t="n">
        <x:f>F127/SUM($F$124:$F$127)</x:f>
        <x:v>0.09952495970638414</x:v>
      </x:c>
      <x:c r="H127" s="34" t="n">
        <x:f>(B127*$G$124+C127*$G$125+D127*$G$126+E127*$G$127)/G127</x:f>
        <x:v>4.01591025658345</x:v>
      </x:c>
      <x:c r="I127" s="34"/>
      <x:c r="J127" s="6"/>
      <x:c r="K127" s="6"/>
      <x:c r="L127" s="6"/>
      <x:c r="M127" s="6"/>
      <x:c r="N127" s="6"/>
      <x:c r="O127" s="6"/>
      <x:c r="P127" s="6"/>
      <x:c r="Q127" s="6"/>
    </x:row>
    <x:row r="128" ht="19" customHeight="1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  <x:c r="M128" s="6"/>
      <x:c r="N128" s="6"/>
      <x:c r="O128" s="6"/>
      <x:c r="P128" s="6"/>
      <x:c r="Q128" s="6"/>
    </x:row>
    <x:row r="129" ht="19" customHeight="1">
      <x:c r="A129" s="32" t="str">
        <x:v>λmax</x:v>
      </x:c>
      <x:c r="B129" s="38" t="n">
        <x:f>AVERAGE(H124:H127)</x:f>
        <x:v>4.010356276466564</x:v>
      </x:c>
      <x:c r="C129" s="32" t="str">
        <x:v>CI</x:v>
      </x:c>
      <x:c r="D129" s="38" t="n">
        <x:f>(B129-4)/(4-1)</x:f>
        <x:v>0.0034520921555213726</x:v>
      </x:c>
      <x:c r="E129" s="32" t="str">
        <x:v>CR</x:v>
      </x:c>
      <x:c r="F129" s="38" t="n">
        <x:f>D129/0.9</x:f>
        <x:v>0.003835657950579303</x:v>
      </x:c>
      <x:c r="G129" s="32" t="str">
        <x:v>Статус</x:v>
      </x:c>
      <x:c r="H129" s="32" t="str">
        <x:f>IF(F129&lt;=0.1,"OK","Пересмотреть")</x:f>
        <x:v>OK</x:v>
      </x:c>
      <x:c r="I129" s="6"/>
      <x:c r="J129" s="6"/>
      <x:c r="K129" s="6"/>
      <x:c r="L129" s="6"/>
      <x:c r="M129" s="6"/>
      <x:c r="N129" s="6"/>
      <x:c r="O129" s="6"/>
      <x:c r="P129" s="6"/>
      <x:c r="Q129" s="6"/>
    </x:row>
    <x:row r="130" ht="19" customHeight="1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  <x:c r="M130" s="6"/>
      <x:c r="N130" s="6"/>
      <x:c r="O130" s="6"/>
      <x:c r="P130" s="6"/>
      <x:c r="Q130" s="6"/>
    </x:row>
    <x:row r="131" ht="19" customHeight="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  <x:c r="M131" s="6"/>
      <x:c r="N131" s="6"/>
      <x:c r="O131" s="6"/>
      <x:c r="P131" s="6"/>
      <x:c r="Q131" s="6"/>
    </x:row>
    <x:row r="132" ht="19" customHeight="1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  <x:c r="M132" s="6"/>
      <x:c r="N132" s="6"/>
      <x:c r="O132" s="6"/>
      <x:c r="P132" s="6"/>
      <x:c r="Q132" s="6"/>
    </x:row>
    <x:row r="133" ht="19" customHeight="1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  <x:c r="M133" s="6"/>
      <x:c r="N133" s="6"/>
      <x:c r="O133" s="6"/>
      <x:c r="P133" s="6"/>
      <x:c r="Q133" s="6"/>
    </x:row>
    <x:row r="134" ht="19" customHeight="1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  <x:c r="M134" s="6"/>
      <x:c r="N134" s="6"/>
      <x:c r="O134" s="6"/>
      <x:c r="P134" s="6"/>
      <x:c r="Q134" s="6"/>
    </x:row>
    <x:row r="135" ht="26" customHeight="1">
      <x:c r="A135" s="25" t="str">
        <x:v>Участник 2 | Альтернативы по K4</x:v>
      </x:c>
      <x:c r="B135" s="25"/>
      <x:c r="C135" s="25"/>
      <x:c r="D135" s="25"/>
      <x:c r="E135" s="25"/>
      <x:c r="F135" s="25"/>
      <x:c r="G135" s="25"/>
      <x:c r="H135" s="25"/>
      <x:c r="I135" s="25"/>
      <x:c r="J135" s="6"/>
      <x:c r="K135" s="6"/>
      <x:c r="L135" s="6"/>
      <x:c r="M135" s="6"/>
      <x:c r="N135" s="6"/>
      <x:c r="O135" s="6"/>
      <x:c r="P135" s="6"/>
      <x:c r="Q135" s="6"/>
    </x:row>
    <x:row r="136" ht="30" customHeight="1">
      <x:c r="A136" s="17" t="str">
        <x:v>Объект</x:v>
      </x:c>
      <x:c r="B136" s="17" t="str">
        <x:v>A1</x:v>
      </x:c>
      <x:c r="C136" s="17" t="str">
        <x:v>A2</x:v>
      </x:c>
      <x:c r="D136" s="17" t="str">
        <x:v>A3</x:v>
      </x:c>
      <x:c r="E136" s="17" t="str">
        <x:v>A4</x:v>
      </x:c>
      <x:c r="F136" s="17" t="str">
        <x:v>Геом.</x:v>
      </x:c>
      <x:c r="G136" s="17" t="str">
        <x:v>Приоритет</x:v>
      </x:c>
      <x:c r="H136" s="17" t="str">
        <x:v>(Aw)/w</x:v>
      </x:c>
      <x:c r="I136" s="6"/>
      <x:c r="J136" s="6"/>
      <x:c r="K136" s="6"/>
      <x:c r="L136" s="6"/>
      <x:c r="M136" s="6"/>
      <x:c r="N136" s="6"/>
      <x:c r="O136" s="6"/>
      <x:c r="P136" s="6"/>
      <x:c r="Q136" s="6"/>
    </x:row>
    <x:row r="137" ht="19" customHeight="1">
      <x:c r="A137" s="6" t="str">
        <x:v>A1</x:v>
      </x:c>
      <x:c r="B137" s="34" t="n">
        <x:f>1</x:f>
        <x:v>1</x:v>
      </x:c>
      <x:c r="C137" s="34" t="n">
        <x:f>'МАИ суждения'!F33</x:f>
        <x:v>1</x:v>
      </x:c>
      <x:c r="D137" s="34" t="n">
        <x:f>'МАИ суждения'!F34</x:f>
        <x:v>2</x:v>
      </x:c>
      <x:c r="E137" s="34" t="n">
        <x:f>'МАИ суждения'!F35</x:f>
        <x:v>3</x:v>
      </x:c>
      <x:c r="F137" s="34" t="n">
        <x:f>(PRODUCT(B137:E137))^(1/4)</x:f>
        <x:v>1.5650845800732873</x:v>
      </x:c>
      <x:c r="G137" s="34" t="n">
        <x:f>F137/SUM($F$137:$F$140)</x:f>
        <x:v>0.34476457366540525</x:v>
      </x:c>
      <x:c r="H137" s="34" t="n">
        <x:f>(B137*$G$137+C137*$G$138+D137*$G$139+E137*$G$140)/G137</x:f>
        <x:v>4.015165267431523</x:v>
      </x:c>
      <x:c r="I137" s="34"/>
      <x:c r="J137" s="6"/>
      <x:c r="K137" s="6"/>
      <x:c r="L137" s="6"/>
      <x:c r="M137" s="6"/>
      <x:c r="N137" s="6"/>
      <x:c r="O137" s="6"/>
      <x:c r="P137" s="6"/>
      <x:c r="Q137" s="6"/>
    </x:row>
    <x:row r="138" ht="19" customHeight="1">
      <x:c r="A138" s="6" t="str">
        <x:v>A2</x:v>
      </x:c>
      <x:c r="B138" s="34" t="n">
        <x:f>1/'МАИ суждения'!F33</x:f>
        <x:v>1</x:v>
      </x:c>
      <x:c r="C138" s="34" t="n">
        <x:f>1</x:f>
        <x:v>1</x:v>
      </x:c>
      <x:c r="D138" s="34" t="n">
        <x:f>'МАИ суждения'!F36</x:f>
        <x:v>2</x:v>
      </x:c>
      <x:c r="E138" s="34" t="n">
        <x:f>'МАИ суждения'!F37</x:f>
        <x:v>4</x:v>
      </x:c>
      <x:c r="F138" s="34" t="n">
        <x:f>(PRODUCT(B138:E138))^(1/4)</x:f>
        <x:v>1.681792830507429</x:v>
      </x:c>
      <x:c r="G138" s="34" t="n">
        <x:f>F138/SUM($F$137:$F$140)</x:f>
        <x:v>0.37047364441880704</x:v>
      </x:c>
      <x:c r="H138" s="34" t="n">
        <x:f>(B138*$G$137+C138*$G$138+D138*$G$139+E138*$G$140)/G138</x:f>
        <x:v>4.005174790925642</x:v>
      </x:c>
      <x:c r="I138" s="34"/>
      <x:c r="J138" s="6"/>
      <x:c r="K138" s="6"/>
      <x:c r="L138" s="6"/>
      <x:c r="M138" s="6"/>
      <x:c r="N138" s="6"/>
      <x:c r="O138" s="6"/>
      <x:c r="P138" s="6"/>
      <x:c r="Q138" s="6"/>
    </x:row>
    <x:row r="139" ht="19" customHeight="1">
      <x:c r="A139" s="6" t="str">
        <x:v>A3</x:v>
      </x:c>
      <x:c r="B139" s="34" t="n">
        <x:f>1/'МАИ суждения'!F34</x:f>
        <x:v>0.5</x:v>
      </x:c>
      <x:c r="C139" s="34" t="n">
        <x:f>1/'МАИ суждения'!F36</x:f>
        <x:v>0.5</x:v>
      </x:c>
      <x:c r="D139" s="34" t="n">
        <x:f>1</x:f>
        <x:v>1</x:v>
      </x:c>
      <x:c r="E139" s="34" t="n">
        <x:f>'МАИ суждения'!F38</x:f>
        <x:v>2</x:v>
      </x:c>
      <x:c r="F139" s="34" t="n">
        <x:f>(PRODUCT(B139:E139))^(1/4)</x:f>
        <x:v>0.8408964152537145</x:v>
      </x:c>
      <x:c r="G139" s="34" t="n">
        <x:f>F139/SUM($F$137:$F$140)</x:f>
        <x:v>0.18523682220940352</x:v>
      </x:c>
      <x:c r="H139" s="34" t="n">
        <x:f>(B139*$G$137+C139*$G$138+D139*$G$139+E139*$G$140)/G139</x:f>
        <x:v>4.005174790925642</x:v>
      </x:c>
      <x:c r="I139" s="34"/>
      <x:c r="J139" s="6"/>
      <x:c r="K139" s="6"/>
      <x:c r="L139" s="6"/>
      <x:c r="M139" s="6"/>
      <x:c r="N139" s="6"/>
      <x:c r="O139" s="6"/>
      <x:c r="P139" s="6"/>
      <x:c r="Q139" s="6"/>
    </x:row>
    <x:row r="140" ht="19" customHeight="1">
      <x:c r="A140" s="6" t="str">
        <x:v>A4</x:v>
      </x:c>
      <x:c r="B140" s="34" t="n">
        <x:f>1/'МАИ суждения'!F35</x:f>
        <x:v>0.3333333333333333</x:v>
      </x:c>
      <x:c r="C140" s="34" t="n">
        <x:f>1/'МАИ суждения'!F37</x:f>
        <x:v>0.25</x:v>
      </x:c>
      <x:c r="D140" s="34" t="n">
        <x:f>1/'МАИ суждения'!F38</x:f>
        <x:v>0.5</x:v>
      </x:c>
      <x:c r="E140" s="34" t="n">
        <x:f>1</x:f>
        <x:v>1</x:v>
      </x:c>
      <x:c r="F140" s="34" t="n">
        <x:f>(PRODUCT(B140:E140))^(1/4)</x:f>
        <x:v>0.4518010018049224</x:v>
      </x:c>
      <x:c r="G140" s="34" t="n">
        <x:f>F140/SUM($F$137:$F$140)</x:f>
        <x:v>0.09952495970638414</x:v>
      </x:c>
      <x:c r="H140" s="34" t="n">
        <x:f>(B140*$G$137+C140*$G$138+D140*$G$139+E140*$G$140)/G140</x:f>
        <x:v>4.01591025658345</x:v>
      </x:c>
      <x:c r="I140" s="34"/>
      <x:c r="J140" s="6"/>
      <x:c r="K140" s="6"/>
      <x:c r="L140" s="6"/>
      <x:c r="M140" s="6"/>
      <x:c r="N140" s="6"/>
      <x:c r="O140" s="6"/>
      <x:c r="P140" s="6"/>
      <x:c r="Q140" s="6"/>
    </x:row>
    <x:row r="141" ht="19" customHeight="1">
      <x:c r="A141" s="6"/>
      <x:c r="B141" s="6"/>
      <x:c r="C141" s="6"/>
      <x:c r="D141" s="6"/>
      <x:c r="E141" s="6"/>
      <x:c r="F141" s="6"/>
      <x:c r="G141" s="6"/>
      <x:c r="H141" s="6"/>
      <x:c r="I141" s="6"/>
      <x:c r="J141" s="6"/>
      <x:c r="K141" s="6"/>
      <x:c r="L141" s="6"/>
      <x:c r="M141" s="6"/>
      <x:c r="N141" s="6"/>
      <x:c r="O141" s="6"/>
      <x:c r="P141" s="6"/>
      <x:c r="Q141" s="6"/>
    </x:row>
    <x:row r="142" ht="19" customHeight="1">
      <x:c r="A142" s="32" t="str">
        <x:v>λmax</x:v>
      </x:c>
      <x:c r="B142" s="38" t="n">
        <x:f>AVERAGE(H137:H140)</x:f>
        <x:v>4.010356276466564</x:v>
      </x:c>
      <x:c r="C142" s="32" t="str">
        <x:v>CI</x:v>
      </x:c>
      <x:c r="D142" s="38" t="n">
        <x:f>(B142-4)/(4-1)</x:f>
        <x:v>0.0034520921555213726</x:v>
      </x:c>
      <x:c r="E142" s="32" t="str">
        <x:v>CR</x:v>
      </x:c>
      <x:c r="F142" s="38" t="n">
        <x:f>D142/0.9</x:f>
        <x:v>0.003835657950579303</x:v>
      </x:c>
      <x:c r="G142" s="32" t="str">
        <x:v>Статус</x:v>
      </x:c>
      <x:c r="H142" s="32" t="str">
        <x:f>IF(F142&lt;=0.1,"OK","Пересмотреть")</x:f>
        <x:v>OK</x:v>
      </x:c>
      <x:c r="I142" s="6"/>
      <x:c r="J142" s="6"/>
      <x:c r="K142" s="6"/>
      <x:c r="L142" s="6"/>
      <x:c r="M142" s="6"/>
      <x:c r="N142" s="6"/>
      <x:c r="O142" s="6"/>
      <x:c r="P142" s="6"/>
      <x:c r="Q142" s="6"/>
    </x:row>
    <x:row r="143" ht="19" customHeight="1">
      <x:c r="A143" s="6"/>
      <x:c r="B143" s="6"/>
      <x:c r="C143" s="6"/>
      <x:c r="D143" s="6"/>
      <x:c r="E143" s="6"/>
      <x:c r="F143" s="6"/>
      <x:c r="G143" s="6"/>
      <x:c r="H143" s="6"/>
      <x:c r="I143" s="6"/>
      <x:c r="J143" s="6"/>
      <x:c r="K143" s="6"/>
      <x:c r="L143" s="6"/>
      <x:c r="M143" s="6"/>
      <x:c r="N143" s="6"/>
      <x:c r="O143" s="6"/>
      <x:c r="P143" s="6"/>
      <x:c r="Q143" s="6"/>
    </x:row>
    <x:row r="144" ht="19" customHeight="1">
      <x:c r="A144" s="6"/>
      <x:c r="B144" s="6"/>
      <x:c r="C144" s="6"/>
      <x:c r="D144" s="6"/>
      <x:c r="E144" s="6"/>
      <x:c r="F144" s="6"/>
      <x:c r="G144" s="6"/>
      <x:c r="H144" s="6"/>
      <x:c r="I144" s="6"/>
      <x:c r="J144" s="6"/>
      <x:c r="K144" s="6"/>
      <x:c r="L144" s="6"/>
      <x:c r="M144" s="6"/>
      <x:c r="N144" s="6"/>
      <x:c r="O144" s="6"/>
      <x:c r="P144" s="6"/>
      <x:c r="Q144" s="6"/>
    </x:row>
    <x:row r="145" ht="19" customHeight="1">
      <x:c r="A145" s="6"/>
      <x:c r="B145" s="6"/>
      <x:c r="C145" s="6"/>
      <x:c r="D145" s="6"/>
      <x:c r="E145" s="6"/>
      <x:c r="F145" s="6"/>
      <x:c r="G145" s="6"/>
      <x:c r="H145" s="6"/>
      <x:c r="I145" s="6"/>
      <x:c r="J145" s="6"/>
      <x:c r="K145" s="6"/>
      <x:c r="L145" s="6"/>
      <x:c r="M145" s="6"/>
      <x:c r="N145" s="6"/>
      <x:c r="O145" s="6"/>
      <x:c r="P145" s="6"/>
      <x:c r="Q145" s="6"/>
    </x:row>
    <x:row r="146" ht="19" customHeight="1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  <x:c r="K146" s="6"/>
      <x:c r="L146" s="6"/>
      <x:c r="M146" s="6"/>
      <x:c r="N146" s="6"/>
      <x:c r="O146" s="6"/>
      <x:c r="P146" s="6"/>
      <x:c r="Q146" s="6"/>
    </x:row>
    <x:row r="147" ht="19" customHeight="1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  <x:c r="K147" s="6"/>
      <x:c r="L147" s="6"/>
      <x:c r="M147" s="6"/>
      <x:c r="N147" s="6"/>
      <x:c r="O147" s="6"/>
      <x:c r="P147" s="6"/>
      <x:c r="Q147" s="6"/>
    </x:row>
    <x:row r="148" ht="26" customHeight="1">
      <x:c r="A148" s="25" t="str">
        <x:v>Участник 2 | Альтернативы по K5</x:v>
      </x:c>
      <x:c r="B148" s="25"/>
      <x:c r="C148" s="25"/>
      <x:c r="D148" s="25"/>
      <x:c r="E148" s="25"/>
      <x:c r="F148" s="25"/>
      <x:c r="G148" s="25"/>
      <x:c r="H148" s="25"/>
      <x:c r="I148" s="25"/>
      <x:c r="J148" s="6"/>
      <x:c r="K148" s="6"/>
      <x:c r="L148" s="6"/>
      <x:c r="M148" s="6"/>
      <x:c r="N148" s="6"/>
      <x:c r="O148" s="6"/>
      <x:c r="P148" s="6"/>
      <x:c r="Q148" s="6"/>
    </x:row>
    <x:row r="149" ht="30" customHeight="1">
      <x:c r="A149" s="17" t="str">
        <x:v>Объект</x:v>
      </x:c>
      <x:c r="B149" s="17" t="str">
        <x:v>A1</x:v>
      </x:c>
      <x:c r="C149" s="17" t="str">
        <x:v>A2</x:v>
      </x:c>
      <x:c r="D149" s="17" t="str">
        <x:v>A3</x:v>
      </x:c>
      <x:c r="E149" s="17" t="str">
        <x:v>A4</x:v>
      </x:c>
      <x:c r="F149" s="17" t="str">
        <x:v>Геом.</x:v>
      </x:c>
      <x:c r="G149" s="17" t="str">
        <x:v>Приоритет</x:v>
      </x:c>
      <x:c r="H149" s="17" t="str">
        <x:v>(Aw)/w</x:v>
      </x:c>
      <x:c r="I149" s="6"/>
      <x:c r="J149" s="6"/>
      <x:c r="K149" s="6"/>
      <x:c r="L149" s="6"/>
      <x:c r="M149" s="6"/>
      <x:c r="N149" s="6"/>
      <x:c r="O149" s="6"/>
      <x:c r="P149" s="6"/>
      <x:c r="Q149" s="6"/>
    </x:row>
    <x:row r="150" ht="19" customHeight="1">
      <x:c r="A150" s="6" t="str">
        <x:v>A1</x:v>
      </x:c>
      <x:c r="B150" s="34" t="n">
        <x:f>1</x:f>
        <x:v>1</x:v>
      </x:c>
      <x:c r="C150" s="34" t="n">
        <x:f>'МАИ суждения'!F39</x:f>
        <x:v>0.25</x:v>
      </x:c>
      <x:c r="D150" s="34" t="n">
        <x:f>'МАИ суждения'!F40</x:f>
        <x:v>0.3333333333333333</x:v>
      </x:c>
      <x:c r="E150" s="34" t="n">
        <x:f>'МАИ суждения'!F41</x:f>
        <x:v>0.25</x:v>
      </x:c>
      <x:c r="F150" s="34" t="n">
        <x:f>(PRODUCT(B150:E150))^(1/4)</x:f>
        <x:v>0.37991784282579627</x:v>
      </x:c>
      <x:c r="G150" s="34" t="n">
        <x:f>F150/SUM($F$150:$F$153)</x:f>
        <x:v>0.08128135107817767</x:v>
      </x:c>
      <x:c r="H150" s="34" t="n">
        <x:f>(B150*$G$150+C150*$G$151+D150*$G$152+E150*$G$153)/G150</x:f>
        <x:v>4.029860420328369</x:v>
      </x:c>
      <x:c r="I150" s="34"/>
      <x:c r="J150" s="6"/>
      <x:c r="K150" s="6"/>
      <x:c r="L150" s="6"/>
      <x:c r="M150" s="6"/>
      <x:c r="N150" s="6"/>
      <x:c r="O150" s="6"/>
      <x:c r="P150" s="6"/>
      <x:c r="Q150" s="6"/>
    </x:row>
    <x:row r="151" ht="19" customHeight="1">
      <x:c r="A151" s="6" t="str">
        <x:v>A2</x:v>
      </x:c>
      <x:c r="B151" s="34" t="n">
        <x:f>1/'МАИ суждения'!F39</x:f>
        <x:v>4</x:v>
      </x:c>
      <x:c r="C151" s="34" t="n">
        <x:f>1</x:f>
        <x:v>1</x:v>
      </x:c>
      <x:c r="D151" s="34" t="n">
        <x:f>'МАИ суждения'!F42</x:f>
        <x:v>2</x:v>
      </x:c>
      <x:c r="E151" s="34" t="n">
        <x:f>'МАИ суждения'!F43</x:f>
        <x:v>1</x:v>
      </x:c>
      <x:c r="F151" s="34" t="n">
        <x:f>(PRODUCT(B151:E151))^(1/4)</x:f>
        <x:v>1.681792830507429</x:v>
      </x:c>
      <x:c r="G151" s="34" t="n">
        <x:f>F151/SUM($F$150:$F$153)</x:f>
        <x:v>0.3598104065881339</x:v>
      </x:c>
      <x:c r="H151" s="34" t="n">
        <x:f>(B151*$G$150+C151*$G$151+D151*$G$152+E151*$G$153)/G151</x:f>
        <x:v>4.0102839233101655</x:v>
      </x:c>
      <x:c r="I151" s="34"/>
      <x:c r="J151" s="6"/>
      <x:c r="K151" s="6"/>
      <x:c r="L151" s="6"/>
      <x:c r="M151" s="6"/>
      <x:c r="N151" s="6"/>
      <x:c r="O151" s="6"/>
      <x:c r="P151" s="6"/>
      <x:c r="Q151" s="6"/>
    </x:row>
    <x:row r="152" ht="19" customHeight="1">
      <x:c r="A152" s="6" t="str">
        <x:v>A3</x:v>
      </x:c>
      <x:c r="B152" s="34" t="n">
        <x:f>1/'МАИ суждения'!F40</x:f>
        <x:v>3</x:v>
      </x:c>
      <x:c r="C152" s="34" t="n">
        <x:f>1/'МАИ суждения'!F42</x:f>
        <x:v>0.5</x:v>
      </x:c>
      <x:c r="D152" s="34" t="n">
        <x:f>1</x:f>
        <x:v>1</x:v>
      </x:c>
      <x:c r="E152" s="34" t="n">
        <x:f>'МАИ суждения'!F44</x:f>
        <x:v>0.5</x:v>
      </x:c>
      <x:c r="F152" s="34" t="n">
        <x:f>(PRODUCT(B152:E152))^(1/4)</x:f>
        <x:v>0.9306048591020996</x:v>
      </x:c>
      <x:c r="G152" s="34" t="n">
        <x:f>F152/SUM($F$150:$F$153)</x:f>
        <x:v>0.19909783574555462</x:v>
      </x:c>
      <x:c r="H152" s="34" t="n">
        <x:f>(B152*$G$150+C152*$G$151+D152*$G$152+E152*$G$153)/G152</x:f>
        <x:v>4.031948878611279</x:v>
      </x:c>
      <x:c r="I152" s="34"/>
      <x:c r="J152" s="6"/>
      <x:c r="K152" s="6"/>
      <x:c r="L152" s="6"/>
      <x:c r="M152" s="6"/>
      <x:c r="N152" s="6"/>
      <x:c r="O152" s="6"/>
      <x:c r="P152" s="6"/>
      <x:c r="Q152" s="6"/>
    </x:row>
    <x:row r="153" ht="19" customHeight="1">
      <x:c r="A153" s="6" t="str">
        <x:v>A4</x:v>
      </x:c>
      <x:c r="B153" s="34" t="n">
        <x:f>1/'МАИ суждения'!F41</x:f>
        <x:v>4</x:v>
      </x:c>
      <x:c r="C153" s="34" t="n">
        <x:f>1/'МАИ суждения'!F43</x:f>
        <x:v>1</x:v>
      </x:c>
      <x:c r="D153" s="34" t="n">
        <x:f>1/'МАИ суждения'!F44</x:f>
        <x:v>2</x:v>
      </x:c>
      <x:c r="E153" s="34" t="n">
        <x:f>1</x:f>
        <x:v>1</x:v>
      </x:c>
      <x:c r="F153" s="34" t="n">
        <x:f>(PRODUCT(B153:E153))^(1/4)</x:f>
        <x:v>1.681792830507429</x:v>
      </x:c>
      <x:c r="G153" s="34" t="n">
        <x:f>F153/SUM($F$150:$F$153)</x:f>
        <x:v>0.3598104065881339</x:v>
      </x:c>
      <x:c r="H153" s="34" t="n">
        <x:f>(B153*$G$150+C153*$G$151+D153*$G$152+E153*$G$153)/G153</x:f>
        <x:v>4.0102839233101655</x:v>
      </x:c>
      <x:c r="I153" s="34"/>
      <x:c r="J153" s="6"/>
      <x:c r="K153" s="6"/>
      <x:c r="L153" s="6"/>
      <x:c r="M153" s="6"/>
      <x:c r="N153" s="6"/>
      <x:c r="O153" s="6"/>
      <x:c r="P153" s="6"/>
      <x:c r="Q153" s="6"/>
    </x:row>
    <x:row r="154" ht="19" customHeight="1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  <x:c r="K154" s="6"/>
      <x:c r="L154" s="6"/>
      <x:c r="M154" s="6"/>
      <x:c r="N154" s="6"/>
      <x:c r="O154" s="6"/>
      <x:c r="P154" s="6"/>
      <x:c r="Q154" s="6"/>
    </x:row>
    <x:row r="155" ht="19" customHeight="1">
      <x:c r="A155" s="32" t="str">
        <x:v>λmax</x:v>
      </x:c>
      <x:c r="B155" s="38" t="n">
        <x:f>AVERAGE(H150:H153)</x:f>
        <x:v>4.020594286389994</x:v>
      </x:c>
      <x:c r="C155" s="32" t="str">
        <x:v>CI</x:v>
      </x:c>
      <x:c r="D155" s="38" t="n">
        <x:f>(B155-4)/(4-1)</x:f>
        <x:v>0.006864762129998129</x:v>
      </x:c>
      <x:c r="E155" s="32" t="str">
        <x:v>CR</x:v>
      </x:c>
      <x:c r="F155" s="38" t="n">
        <x:f>D155/0.9</x:f>
        <x:v>0.007627513477775699</x:v>
      </x:c>
      <x:c r="G155" s="32" t="str">
        <x:v>Статус</x:v>
      </x:c>
      <x:c r="H155" s="32" t="str">
        <x:f>IF(F155&lt;=0.1,"OK","Пересмотреть")</x:f>
        <x:v>OK</x:v>
      </x:c>
      <x:c r="I155" s="6"/>
      <x:c r="J155" s="6"/>
      <x:c r="K155" s="6"/>
      <x:c r="L155" s="6"/>
      <x:c r="M155" s="6"/>
      <x:c r="N155" s="6"/>
      <x:c r="O155" s="6"/>
      <x:c r="P155" s="6"/>
      <x:c r="Q155" s="6"/>
    </x:row>
    <x:row r="156" ht="19" customHeight="1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  <x:c r="K156" s="6"/>
      <x:c r="L156" s="6"/>
      <x:c r="M156" s="6"/>
      <x:c r="N156" s="6"/>
      <x:c r="O156" s="6"/>
      <x:c r="P156" s="6"/>
      <x:c r="Q156" s="6"/>
    </x:row>
    <x:row r="157" ht="19" customHeight="1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  <x:c r="K157" s="6"/>
      <x:c r="L157" s="6"/>
      <x:c r="M157" s="6"/>
      <x:c r="N157" s="6"/>
      <x:c r="O157" s="6"/>
      <x:c r="P157" s="6"/>
      <x:c r="Q157" s="6"/>
    </x:row>
    <x:row r="158" ht="19" customHeight="1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  <x:c r="K158" s="6"/>
      <x:c r="L158" s="6"/>
      <x:c r="M158" s="6"/>
      <x:c r="N158" s="6"/>
      <x:c r="O158" s="6"/>
      <x:c r="P158" s="6"/>
      <x:c r="Q158" s="6"/>
    </x:row>
    <x:row r="159" ht="19" customHeight="1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  <x:c r="K159" s="6"/>
      <x:c r="L159" s="6"/>
      <x:c r="M159" s="6"/>
      <x:c r="N159" s="6"/>
      <x:c r="O159" s="6"/>
      <x:c r="P159" s="6"/>
      <x:c r="Q159" s="6"/>
    </x:row>
    <x:row r="160" ht="19" customHeight="1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  <x:c r="K160" s="6"/>
      <x:c r="L160" s="6"/>
      <x:c r="M160" s="6"/>
      <x:c r="N160" s="6"/>
      <x:c r="O160" s="6"/>
      <x:c r="P160" s="6"/>
      <x:c r="Q160" s="6"/>
    </x:row>
    <x:row r="161" ht="26" customHeight="1">
      <x:c r="A161" s="25" t="str">
        <x:v>Участник 3 | Критерии K1–K5</x:v>
      </x:c>
      <x:c r="B161" s="25"/>
      <x:c r="C161" s="25"/>
      <x:c r="D161" s="25"/>
      <x:c r="E161" s="25"/>
      <x:c r="F161" s="25"/>
      <x:c r="G161" s="25"/>
      <x:c r="H161" s="25"/>
      <x:c r="I161" s="25"/>
      <x:c r="J161" s="6"/>
      <x:c r="K161" s="6"/>
      <x:c r="L161" s="6"/>
      <x:c r="M161" s="6"/>
      <x:c r="N161" s="6"/>
      <x:c r="O161" s="6"/>
      <x:c r="P161" s="6"/>
      <x:c r="Q161" s="6"/>
    </x:row>
    <x:row r="162" ht="30" customHeight="1">
      <x:c r="A162" s="17" t="str">
        <x:v>Объект</x:v>
      </x:c>
      <x:c r="B162" s="17" t="str">
        <x:v>K1</x:v>
      </x:c>
      <x:c r="C162" s="17" t="str">
        <x:v>K2</x:v>
      </x:c>
      <x:c r="D162" s="17" t="str">
        <x:v>K3</x:v>
      </x:c>
      <x:c r="E162" s="17" t="str">
        <x:v>K4</x:v>
      </x:c>
      <x:c r="F162" s="17" t="str">
        <x:v>K5</x:v>
      </x:c>
      <x:c r="G162" s="17" t="str">
        <x:v>Геом.</x:v>
      </x:c>
      <x:c r="H162" s="17" t="str">
        <x:v>Приоритет</x:v>
      </x:c>
      <x:c r="I162" s="17" t="str">
        <x:v>(Aw)/w</x:v>
      </x:c>
      <x:c r="J162" s="6"/>
      <x:c r="K162" s="6"/>
      <x:c r="L162" s="6"/>
      <x:c r="M162" s="6"/>
      <x:c r="N162" s="6"/>
      <x:c r="O162" s="6"/>
      <x:c r="P162" s="6"/>
      <x:c r="Q162" s="6"/>
    </x:row>
    <x:row r="163" ht="19" customHeight="1">
      <x:c r="A163" s="6" t="str">
        <x:v>K1</x:v>
      </x:c>
      <x:c r="B163" s="34" t="n">
        <x:f>1</x:f>
        <x:v>1</x:v>
      </x:c>
      <x:c r="C163" s="34" t="n">
        <x:f>'МАИ суждения'!G5</x:f>
        <x:v>1</x:v>
      </x:c>
      <x:c r="D163" s="34" t="n">
        <x:f>'МАИ суждения'!G6</x:f>
        <x:v>2</x:v>
      </x:c>
      <x:c r="E163" s="34" t="n">
        <x:f>'МАИ суждения'!G7</x:f>
        <x:v>4</x:v>
      </x:c>
      <x:c r="F163" s="34" t="n">
        <x:f>'МАИ суждения'!G8</x:f>
        <x:v>3</x:v>
      </x:c>
      <x:c r="G163" s="34" t="n">
        <x:f>(PRODUCT(B163:F163))^(1/5)</x:f>
        <x:v>1.888175022589804</x:v>
      </x:c>
      <x:c r="H163" s="34" t="n">
        <x:f>G163/SUM($G$163:$G$167)</x:f>
        <x:v>0.3247672144867747</x:v>
      </x:c>
      <x:c r="I163" s="34" t="n">
        <x:f>(B163*$H$163+C163*$H$164+D163*$H$165+E163*$H$166+F163*$H$167)/H163</x:f>
        <x:v>5.097058436799073</x:v>
      </x:c>
      <x:c r="J163" s="6"/>
      <x:c r="K163" s="6"/>
      <x:c r="L163" s="6"/>
      <x:c r="M163" s="6"/>
      <x:c r="N163" s="6"/>
      <x:c r="O163" s="6"/>
      <x:c r="P163" s="6"/>
      <x:c r="Q163" s="6"/>
    </x:row>
    <x:row r="164" ht="19" customHeight="1">
      <x:c r="A164" s="6" t="str">
        <x:v>K2</x:v>
      </x:c>
      <x:c r="B164" s="34" t="n">
        <x:f>1/'МАИ суждения'!G5</x:f>
        <x:v>1</x:v>
      </x:c>
      <x:c r="C164" s="34" t="n">
        <x:f>1</x:f>
        <x:v>1</x:v>
      </x:c>
      <x:c r="D164" s="34" t="n">
        <x:f>'МАИ суждения'!G9</x:f>
        <x:v>2</x:v>
      </x:c>
      <x:c r="E164" s="34" t="n">
        <x:f>'МАИ суждения'!G10</x:f>
        <x:v>3</x:v>
      </x:c>
      <x:c r="F164" s="34" t="n">
        <x:f>'МАИ суждения'!G11</x:f>
        <x:v>3</x:v>
      </x:c>
      <x:c r="G164" s="34" t="n">
        <x:f>(PRODUCT(B164:F164))^(1/5)</x:f>
        <x:v>1.7826024579660034</x:v>
      </x:c>
      <x:c r="H164" s="34" t="n">
        <x:f>G164/SUM($G$163:$G$167)</x:f>
        <x:v>0.30660867127499675</x:v>
      </x:c>
      <x:c r="I164" s="34" t="n">
        <x:f>(B164*$H$163+C164*$H$164+D164*$H$165+E164*$H$166+F164*$H$167)/H164</x:f>
        <x:v>5.057647063630032</x:v>
      </x:c>
      <x:c r="J164" s="6"/>
      <x:c r="K164" s="6"/>
      <x:c r="L164" s="6"/>
      <x:c r="M164" s="6"/>
      <x:c r="N164" s="6"/>
      <x:c r="O164" s="6"/>
      <x:c r="P164" s="6"/>
      <x:c r="Q164" s="6"/>
    </x:row>
    <x:row r="165" ht="19" customHeight="1">
      <x:c r="A165" s="6" t="str">
        <x:v>K3</x:v>
      </x:c>
      <x:c r="B165" s="34" t="n">
        <x:f>1/'МАИ суждения'!G6</x:f>
        <x:v>0.5</x:v>
      </x:c>
      <x:c r="C165" s="34" t="n">
        <x:f>1/'МАИ суждения'!G9</x:f>
        <x:v>0.5</x:v>
      </x:c>
      <x:c r="D165" s="34" t="n">
        <x:f>1</x:f>
        <x:v>1</x:v>
      </x:c>
      <x:c r="E165" s="34" t="n">
        <x:f>'МАИ суждения'!G12</x:f>
        <x:v>2</x:v>
      </x:c>
      <x:c r="F165" s="34" t="n">
        <x:f>'МАИ суждения'!G13</x:f>
        <x:v>3</x:v>
      </x:c>
      <x:c r="G165" s="34" t="n">
        <x:f>(PRODUCT(B165:F165))^(1/5)</x:f>
        <x:v>1.0844717711976986</x:v>
      </x:c>
      <x:c r="H165" s="34" t="n">
        <x:f>G165/SUM($G$163:$G$167)</x:f>
        <x:v>0.18652978251896365</x:v>
      </x:c>
      <x:c r="I165" s="34" t="n">
        <x:f>(B165*$H$163+C165*$H$164+D165*$H$165+E165*$H$166+F165*$H$167)/H165</x:f>
        <x:v>5.060112563116455</x:v>
      </x:c>
      <x:c r="J165" s="6"/>
      <x:c r="K165" s="6"/>
      <x:c r="L165" s="6"/>
      <x:c r="M165" s="6"/>
      <x:c r="N165" s="6"/>
      <x:c r="O165" s="6"/>
      <x:c r="P165" s="6"/>
      <x:c r="Q165" s="6"/>
    </x:row>
    <x:row r="166" ht="19" customHeight="1">
      <x:c r="A166" s="6" t="str">
        <x:v>K4</x:v>
      </x:c>
      <x:c r="B166" s="34" t="n">
        <x:f>1/'МАИ суждения'!G7</x:f>
        <x:v>0.25</x:v>
      </x:c>
      <x:c r="C166" s="34" t="n">
        <x:f>1/'МАИ суждения'!G10</x:f>
        <x:v>0.3333333333333333</x:v>
      </x:c>
      <x:c r="D166" s="34" t="n">
        <x:f>1/'МАИ суждения'!G12</x:f>
        <x:v>0.5</x:v>
      </x:c>
      <x:c r="E166" s="34" t="n">
        <x:f>1</x:f>
        <x:v>1</x:v>
      </x:c>
      <x:c r="F166" s="34" t="n">
        <x:f>'МАИ суждения'!G14</x:f>
        <x:v>2</x:v>
      </x:c>
      <x:c r="G166" s="34" t="n">
        <x:f>(PRODUCT(B166:F166))^(1/5)</x:f>
        <x:v>0.6083643418932058</x:v>
      </x:c>
      <x:c r="H166" s="34" t="n">
        <x:f>G166/SUM($G$163:$G$167)</x:f>
        <x:v>0.10463902463805592</x:v>
      </x:c>
      <x:c r="I166" s="34" t="n">
        <x:f>(B166*$H$163+C166*$H$164+D166*$H$165+E166*$H$166+F166*$H$167)/H166</x:f>
        <x:v>5.1243713897504675</x:v>
      </x:c>
      <x:c r="J166" s="6"/>
      <x:c r="K166" s="6"/>
      <x:c r="L166" s="6"/>
      <x:c r="M166" s="6"/>
      <x:c r="N166" s="6"/>
      <x:c r="O166" s="6"/>
      <x:c r="P166" s="6"/>
      <x:c r="Q166" s="6"/>
    </x:row>
    <x:row r="167" ht="19" customHeight="1">
      <x:c r="A167" s="6" t="str">
        <x:v>K5</x:v>
      </x:c>
      <x:c r="B167" s="34" t="n">
        <x:f>1/'МАИ суждения'!G8</x:f>
        <x:v>0.3333333333333333</x:v>
      </x:c>
      <x:c r="C167" s="34" t="n">
        <x:f>1/'МАИ суждения'!G11</x:f>
        <x:v>0.3333333333333333</x:v>
      </x:c>
      <x:c r="D167" s="34" t="n">
        <x:f>1/'МАИ суждения'!G13</x:f>
        <x:v>0.3333333333333333</x:v>
      </x:c>
      <x:c r="E167" s="34" t="n">
        <x:f>1/'МАИ суждения'!G14</x:f>
        <x:v>0.5</x:v>
      </x:c>
      <x:c r="F167" s="34" t="n">
        <x:f>1</x:f>
        <x:v>1</x:v>
      </x:c>
      <x:c r="G167" s="34" t="n">
        <x:f>(PRODUCT(B167:F167))^(1/5)</x:f>
        <x:v>0.45032001284020445</x:v>
      </x:c>
      <x:c r="H167" s="34" t="n">
        <x:f>G167/SUM($G$163:$G$167)</x:f>
        <x:v>0.0774553070812089</x:v>
      </x:c>
      <x:c r="I167" s="34" t="n">
        <x:f>(B167*$H$163+C167*$H$164+D167*$H$165+E167*$H$166+F167*$H$167)/H167</x:f>
        <x:v>5.195383729336591</x:v>
      </x:c>
      <x:c r="J167" s="6"/>
      <x:c r="K167" s="6"/>
      <x:c r="L167" s="6"/>
      <x:c r="M167" s="6"/>
      <x:c r="N167" s="6"/>
      <x:c r="O167" s="6"/>
      <x:c r="P167" s="6"/>
      <x:c r="Q167" s="6"/>
    </x:row>
    <x:row r="168" ht="19" customHeight="1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  <x:c r="K168" s="6"/>
      <x:c r="L168" s="6"/>
      <x:c r="M168" s="6"/>
      <x:c r="N168" s="6"/>
      <x:c r="O168" s="6"/>
      <x:c r="P168" s="6"/>
      <x:c r="Q168" s="6"/>
    </x:row>
    <x:row r="169" ht="19" customHeight="1">
      <x:c r="A169" s="32" t="str">
        <x:v>λmax</x:v>
      </x:c>
      <x:c r="B169" s="38" t="n">
        <x:f>AVERAGE(I163:I167)</x:f>
        <x:v>5.106914636526524</x:v>
      </x:c>
      <x:c r="C169" s="32" t="str">
        <x:v>CI</x:v>
      </x:c>
      <x:c r="D169" s="38" t="n">
        <x:f>(B169-5)/(5-1)</x:f>
        <x:v>0.026728659131630916</x:v>
      </x:c>
      <x:c r="E169" s="32" t="str">
        <x:v>CR</x:v>
      </x:c>
      <x:c r="F169" s="38" t="n">
        <x:f>D169/1.12</x:f>
        <x:v>0.023864874224670457</x:v>
      </x:c>
      <x:c r="G169" s="32" t="str">
        <x:v>Статус</x:v>
      </x:c>
      <x:c r="H169" s="32" t="str">
        <x:f>IF(F169&lt;=0.1,"OK","Пересмотреть")</x:f>
        <x:v>OK</x:v>
      </x:c>
      <x:c r="I169" s="6"/>
      <x:c r="J169" s="6"/>
      <x:c r="K169" s="6"/>
      <x:c r="L169" s="6"/>
      <x:c r="M169" s="6"/>
      <x:c r="N169" s="6"/>
      <x:c r="O169" s="6"/>
      <x:c r="P169" s="6"/>
      <x:c r="Q169" s="6"/>
    </x:row>
    <x:row r="170" ht="19" customHeight="1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  <x:c r="K170" s="6"/>
      <x:c r="L170" s="6"/>
      <x:c r="M170" s="6"/>
      <x:c r="N170" s="6"/>
      <x:c r="O170" s="6"/>
      <x:c r="P170" s="6"/>
      <x:c r="Q170" s="6"/>
    </x:row>
    <x:row r="171" ht="19" customHeight="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  <x:c r="M171" s="6"/>
      <x:c r="N171" s="6"/>
      <x:c r="O171" s="6"/>
      <x:c r="P171" s="6"/>
      <x:c r="Q171" s="6"/>
    </x:row>
    <x:row r="172" ht="19" customHeight="1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  <x:c r="K172" s="6"/>
      <x:c r="L172" s="6"/>
      <x:c r="M172" s="6"/>
      <x:c r="N172" s="6"/>
      <x:c r="O172" s="6"/>
      <x:c r="P172" s="6"/>
      <x:c r="Q172" s="6"/>
    </x:row>
    <x:row r="173" ht="19" customHeight="1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  <x:c r="K173" s="6"/>
      <x:c r="L173" s="6"/>
      <x:c r="M173" s="6"/>
      <x:c r="N173" s="6"/>
      <x:c r="O173" s="6"/>
      <x:c r="P173" s="6"/>
      <x:c r="Q173" s="6"/>
    </x:row>
    <x:row r="174" ht="26" customHeight="1">
      <x:c r="A174" s="25" t="str">
        <x:v>Участник 3 | Альтернативы по K1</x:v>
      </x:c>
      <x:c r="B174" s="25"/>
      <x:c r="C174" s="25"/>
      <x:c r="D174" s="25"/>
      <x:c r="E174" s="25"/>
      <x:c r="F174" s="25"/>
      <x:c r="G174" s="25"/>
      <x:c r="H174" s="25"/>
      <x:c r="I174" s="25"/>
      <x:c r="J174" s="6"/>
      <x:c r="K174" s="6"/>
      <x:c r="L174" s="6"/>
      <x:c r="M174" s="6"/>
      <x:c r="N174" s="6"/>
      <x:c r="O174" s="6"/>
      <x:c r="P174" s="6"/>
      <x:c r="Q174" s="6"/>
    </x:row>
    <x:row r="175" ht="30" customHeight="1">
      <x:c r="A175" s="17" t="str">
        <x:v>Объект</x:v>
      </x:c>
      <x:c r="B175" s="17" t="str">
        <x:v>A1</x:v>
      </x:c>
      <x:c r="C175" s="17" t="str">
        <x:v>A2</x:v>
      </x:c>
      <x:c r="D175" s="17" t="str">
        <x:v>A3</x:v>
      </x:c>
      <x:c r="E175" s="17" t="str">
        <x:v>A4</x:v>
      </x:c>
      <x:c r="F175" s="17" t="str">
        <x:v>Геом.</x:v>
      </x:c>
      <x:c r="G175" s="17" t="str">
        <x:v>Приоритет</x:v>
      </x:c>
      <x:c r="H175" s="17" t="str">
        <x:v>(Aw)/w</x:v>
      </x:c>
      <x:c r="I175" s="6"/>
      <x:c r="J175" s="6"/>
      <x:c r="K175" s="6"/>
      <x:c r="L175" s="6"/>
      <x:c r="M175" s="6"/>
      <x:c r="N175" s="6"/>
      <x:c r="O175" s="6"/>
      <x:c r="P175" s="6"/>
      <x:c r="Q175" s="6"/>
    </x:row>
    <x:row r="176" ht="19" customHeight="1">
      <x:c r="A176" s="6" t="str">
        <x:v>A1</x:v>
      </x:c>
      <x:c r="B176" s="34" t="n">
        <x:f>1</x:f>
        <x:v>1</x:v>
      </x:c>
      <x:c r="C176" s="34" t="n">
        <x:f>'МАИ суждения'!G15</x:f>
        <x:v>0.5</x:v>
      </x:c>
      <x:c r="D176" s="34" t="n">
        <x:f>'МАИ суждения'!G16</x:f>
        <x:v>2</x:v>
      </x:c>
      <x:c r="E176" s="34" t="n">
        <x:f>'МАИ суждения'!G17</x:f>
        <x:v>0.5</x:v>
      </x:c>
      <x:c r="F176" s="34" t="n">
        <x:f>(PRODUCT(B176:E176))^(1/4)</x:f>
        <x:v>0.8408964152537145</x:v>
      </x:c>
      <x:c r="G176" s="34" t="n">
        <x:f>F176/SUM($F$176:$F$179)</x:f>
        <x:v>0.185624105417766</x:v>
      </x:c>
      <x:c r="H176" s="34" t="n">
        <x:f>(B176*$G$176+C176*$G$177+D176*$G$178+E176*$G$179)/G176</x:f>
        <x:v>4.0855210111919895</x:v>
      </x:c>
      <x:c r="I176" s="34"/>
      <x:c r="J176" s="6"/>
      <x:c r="K176" s="6"/>
      <x:c r="L176" s="6"/>
      <x:c r="M176" s="6"/>
      <x:c r="N176" s="6"/>
      <x:c r="O176" s="6"/>
      <x:c r="P176" s="6"/>
      <x:c r="Q176" s="6"/>
    </x:row>
    <x:row r="177" ht="19" customHeight="1">
      <x:c r="A177" s="6" t="str">
        <x:v>A2</x:v>
      </x:c>
      <x:c r="B177" s="34" t="n">
        <x:f>1/'МАИ суждения'!G15</x:f>
        <x:v>2</x:v>
      </x:c>
      <x:c r="C177" s="34" t="n">
        <x:f>1</x:f>
        <x:v>1</x:v>
      </x:c>
      <x:c r="D177" s="34" t="n">
        <x:f>'МАИ суждения'!G18</x:f>
        <x:v>4</x:v>
      </x:c>
      <x:c r="E177" s="34" t="n">
        <x:f>'МАИ суждения'!G19</x:f>
        <x:v>2</x:v>
      </x:c>
      <x:c r="F177" s="34" t="n">
        <x:f>(PRODUCT(B177:E177))^(1/4)</x:f>
        <x:v>2</x:v>
      </x:c>
      <x:c r="G177" s="34" t="n">
        <x:f>F177/SUM($F$176:$F$179)</x:f>
        <x:v>0.44149101375764493</x:v>
      </x:c>
      <x:c r="H177" s="34" t="n">
        <x:f>(B177*$G$176+C177*$G$177+D177*$G$178+E177*$G$179)/G177</x:f>
        <x:v>4.030103530256436</x:v>
      </x:c>
      <x:c r="I177" s="34"/>
      <x:c r="J177" s="6"/>
      <x:c r="K177" s="6"/>
      <x:c r="L177" s="6"/>
      <x:c r="M177" s="6"/>
      <x:c r="N177" s="6"/>
      <x:c r="O177" s="6"/>
      <x:c r="P177" s="6"/>
      <x:c r="Q177" s="6"/>
    </x:row>
    <x:row r="178" ht="19" customHeight="1">
      <x:c r="A178" s="6" t="str">
        <x:v>A3</x:v>
      </x:c>
      <x:c r="B178" s="34" t="n">
        <x:f>1/'МАИ суждения'!G16</x:f>
        <x:v>0.5</x:v>
      </x:c>
      <x:c r="C178" s="34" t="n">
        <x:f>1/'МАИ суждения'!G18</x:f>
        <x:v>0.25</x:v>
      </x:c>
      <x:c r="D178" s="34" t="n">
        <x:f>1</x:f>
        <x:v>1</x:v>
      </x:c>
      <x:c r="E178" s="34" t="n">
        <x:f>'МАИ суждения'!G20</x:f>
        <x:v>0.5</x:v>
      </x:c>
      <x:c r="F178" s="34" t="n">
        <x:f>(PRODUCT(B178:E178))^(1/4)</x:f>
        <x:v>0.5</x:v>
      </x:c>
      <x:c r="G178" s="34" t="n">
        <x:f>F178/SUM($F$176:$F$179)</x:f>
        <x:v>0.11037275343941123</x:v>
      </x:c>
      <x:c r="H178" s="34" t="n">
        <x:f>(B178*$G$176+C178*$G$177+D178*$G$178+E178*$G$179)/G178</x:f>
        <x:v>4.030103530256436</x:v>
      </x:c>
      <x:c r="I178" s="34"/>
      <x:c r="J178" s="6"/>
      <x:c r="K178" s="6"/>
      <x:c r="L178" s="6"/>
      <x:c r="M178" s="6"/>
      <x:c r="N178" s="6"/>
      <x:c r="O178" s="6"/>
      <x:c r="P178" s="6"/>
      <x:c r="Q178" s="6"/>
    </x:row>
    <x:row r="179" ht="19" customHeight="1">
      <x:c r="A179" s="6" t="str">
        <x:v>A4</x:v>
      </x:c>
      <x:c r="B179" s="34" t="n">
        <x:f>1/'МАИ суждения'!G17</x:f>
        <x:v>2</x:v>
      </x:c>
      <x:c r="C179" s="34" t="n">
        <x:f>1/'МАИ суждения'!G19</x:f>
        <x:v>0.5</x:v>
      </x:c>
      <x:c r="D179" s="34" t="n">
        <x:f>1/'МАИ суждения'!G20</x:f>
        <x:v>2</x:v>
      </x:c>
      <x:c r="E179" s="34" t="n">
        <x:f>1</x:f>
        <x:v>1</x:v>
      </x:c>
      <x:c r="F179" s="34" t="n">
        <x:f>(PRODUCT(B179:E179))^(1/4)</x:f>
        <x:v>1.189207115002721</x:v>
      </x:c>
      <x:c r="G179" s="34" t="n">
        <x:f>F179/SUM($F$176:$F$179)</x:f>
        <x:v>0.26251212738517776</x:v>
      </x:c>
      <x:c r="H179" s="34" t="n">
        <x:f>(B179*$G$176+C179*$G$177+D179*$G$178+E179*$G$179)/G179</x:f>
        <x:v>4.096006392880525</x:v>
      </x:c>
      <x:c r="I179" s="34"/>
      <x:c r="J179" s="6"/>
      <x:c r="K179" s="6"/>
      <x:c r="L179" s="6"/>
      <x:c r="M179" s="6"/>
      <x:c r="N179" s="6"/>
      <x:c r="O179" s="6"/>
      <x:c r="P179" s="6"/>
      <x:c r="Q179" s="6"/>
    </x:row>
    <x:row r="180" ht="19" customHeight="1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  <x:c r="K180" s="6"/>
      <x:c r="L180" s="6"/>
      <x:c r="M180" s="6"/>
      <x:c r="N180" s="6"/>
      <x:c r="O180" s="6"/>
      <x:c r="P180" s="6"/>
      <x:c r="Q180" s="6"/>
    </x:row>
    <x:row r="181" ht="19" customHeight="1">
      <x:c r="A181" s="32" t="str">
        <x:v>λmax</x:v>
      </x:c>
      <x:c r="B181" s="38" t="n">
        <x:f>AVERAGE(H176:H179)</x:f>
        <x:v>4.060433616146347</x:v>
      </x:c>
      <x:c r="C181" s="32" t="str">
        <x:v>CI</x:v>
      </x:c>
      <x:c r="D181" s="38" t="n">
        <x:f>(B181-4)/(4-1)</x:f>
        <x:v>0.020144538715449006</x:v>
      </x:c>
      <x:c r="E181" s="32" t="str">
        <x:v>CR</x:v>
      </x:c>
      <x:c r="F181" s="38" t="n">
        <x:f>D181/0.9</x:f>
        <x:v>0.022382820794943338</x:v>
      </x:c>
      <x:c r="G181" s="32" t="str">
        <x:v>Статус</x:v>
      </x:c>
      <x:c r="H181" s="32" t="str">
        <x:f>IF(F181&lt;=0.1,"OK","Пересмотреть")</x:f>
        <x:v>OK</x:v>
      </x:c>
      <x:c r="I181" s="6"/>
      <x:c r="J181" s="6"/>
      <x:c r="K181" s="6"/>
      <x:c r="L181" s="6"/>
      <x:c r="M181" s="6"/>
      <x:c r="N181" s="6"/>
      <x:c r="O181" s="6"/>
      <x:c r="P181" s="6"/>
      <x:c r="Q181" s="6"/>
    </x:row>
    <x:row r="182" ht="19" customHeight="1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  <x:c r="K182" s="6"/>
      <x:c r="L182" s="6"/>
      <x:c r="M182" s="6"/>
      <x:c r="N182" s="6"/>
      <x:c r="O182" s="6"/>
      <x:c r="P182" s="6"/>
      <x:c r="Q182" s="6"/>
    </x:row>
    <x:row r="183" ht="19" customHeight="1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  <x:c r="M183" s="6"/>
      <x:c r="N183" s="6"/>
      <x:c r="O183" s="6"/>
      <x:c r="P183" s="6"/>
      <x:c r="Q183" s="6"/>
    </x:row>
    <x:row r="184" ht="19" customHeight="1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  <x:c r="K184" s="6"/>
      <x:c r="L184" s="6"/>
      <x:c r="M184" s="6"/>
      <x:c r="N184" s="6"/>
      <x:c r="O184" s="6"/>
      <x:c r="P184" s="6"/>
      <x:c r="Q184" s="6"/>
    </x:row>
    <x:row r="185" ht="19" customHeight="1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  <x:c r="M185" s="6"/>
      <x:c r="N185" s="6"/>
      <x:c r="O185" s="6"/>
      <x:c r="P185" s="6"/>
      <x:c r="Q185" s="6"/>
    </x:row>
    <x:row r="186" ht="19" customHeight="1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  <x:c r="K186" s="6"/>
      <x:c r="L186" s="6"/>
      <x:c r="M186" s="6"/>
      <x:c r="N186" s="6"/>
      <x:c r="O186" s="6"/>
      <x:c r="P186" s="6"/>
      <x:c r="Q186" s="6"/>
    </x:row>
    <x:row r="187" ht="26" customHeight="1">
      <x:c r="A187" s="25" t="str">
        <x:v>Участник 3 | Альтернативы по K2</x:v>
      </x:c>
      <x:c r="B187" s="25"/>
      <x:c r="C187" s="25"/>
      <x:c r="D187" s="25"/>
      <x:c r="E187" s="25"/>
      <x:c r="F187" s="25"/>
      <x:c r="G187" s="25"/>
      <x:c r="H187" s="25"/>
      <x:c r="I187" s="25"/>
      <x:c r="J187" s="6"/>
      <x:c r="K187" s="6"/>
      <x:c r="L187" s="6"/>
      <x:c r="M187" s="6"/>
      <x:c r="N187" s="6"/>
      <x:c r="O187" s="6"/>
      <x:c r="P187" s="6"/>
      <x:c r="Q187" s="6"/>
    </x:row>
    <x:row r="188" ht="30" customHeight="1">
      <x:c r="A188" s="17" t="str">
        <x:v>Объект</x:v>
      </x:c>
      <x:c r="B188" s="17" t="str">
        <x:v>A1</x:v>
      </x:c>
      <x:c r="C188" s="17" t="str">
        <x:v>A2</x:v>
      </x:c>
      <x:c r="D188" s="17" t="str">
        <x:v>A3</x:v>
      </x:c>
      <x:c r="E188" s="17" t="str">
        <x:v>A4</x:v>
      </x:c>
      <x:c r="F188" s="17" t="str">
        <x:v>Геом.</x:v>
      </x:c>
      <x:c r="G188" s="17" t="str">
        <x:v>Приоритет</x:v>
      </x:c>
      <x:c r="H188" s="17" t="str">
        <x:v>(Aw)/w</x:v>
      </x:c>
      <x:c r="I188" s="6"/>
      <x:c r="J188" s="6"/>
      <x:c r="K188" s="6"/>
      <x:c r="L188" s="6"/>
      <x:c r="M188" s="6"/>
      <x:c r="N188" s="6"/>
      <x:c r="O188" s="6"/>
      <x:c r="P188" s="6"/>
      <x:c r="Q188" s="6"/>
    </x:row>
    <x:row r="189" ht="19" customHeight="1">
      <x:c r="A189" s="6" t="str">
        <x:v>A1</x:v>
      </x:c>
      <x:c r="B189" s="34" t="n">
        <x:f>1</x:f>
        <x:v>1</x:v>
      </x:c>
      <x:c r="C189" s="34" t="n">
        <x:f>'МАИ суждения'!G21</x:f>
        <x:v>2</x:v>
      </x:c>
      <x:c r="D189" s="34" t="n">
        <x:f>'МАИ суждения'!G22</x:f>
        <x:v>1</x:v>
      </x:c>
      <x:c r="E189" s="34" t="n">
        <x:f>'МАИ суждения'!G23</x:f>
        <x:v>3</x:v>
      </x:c>
      <x:c r="F189" s="34" t="n">
        <x:f>(PRODUCT(B189:E189))^(1/4)</x:f>
        <x:v>1.5650845800732873</x:v>
      </x:c>
      <x:c r="G189" s="34" t="n">
        <x:f>F189/SUM($F$189:$F$192)</x:f>
        <x:v>0.34476457366540536</x:v>
      </x:c>
      <x:c r="H189" s="34" t="n">
        <x:f>(B189*$G$189+C189*$G$190+D189*$G$191+E189*$G$192)/G189</x:f>
        <x:v>4.015165267431522</x:v>
      </x:c>
      <x:c r="I189" s="34"/>
      <x:c r="J189" s="6"/>
      <x:c r="K189" s="6"/>
      <x:c r="L189" s="6"/>
      <x:c r="M189" s="6"/>
      <x:c r="N189" s="6"/>
      <x:c r="O189" s="6"/>
      <x:c r="P189" s="6"/>
      <x:c r="Q189" s="6"/>
    </x:row>
    <x:row r="190" ht="19" customHeight="1">
      <x:c r="A190" s="6" t="str">
        <x:v>A2</x:v>
      </x:c>
      <x:c r="B190" s="34" t="n">
        <x:f>1/'МАИ суждения'!G21</x:f>
        <x:v>0.5</x:v>
      </x:c>
      <x:c r="C190" s="34" t="n">
        <x:f>1</x:f>
        <x:v>1</x:v>
      </x:c>
      <x:c r="D190" s="34" t="n">
        <x:f>'МАИ суждения'!G24</x:f>
        <x:v>0.5</x:v>
      </x:c>
      <x:c r="E190" s="34" t="n">
        <x:f>'МАИ суждения'!G25</x:f>
        <x:v>2</x:v>
      </x:c>
      <x:c r="F190" s="34" t="n">
        <x:f>(PRODUCT(B190:E190))^(1/4)</x:f>
        <x:v>0.8408964152537145</x:v>
      </x:c>
      <x:c r="G190" s="34" t="n">
        <x:f>F190/SUM($F$189:$F$192)</x:f>
        <x:v>0.18523682220940355</x:v>
      </x:c>
      <x:c r="H190" s="34" t="n">
        <x:f>(B190*$G$189+C190*$G$190+D190*$G$191+E190*$G$192)/G190</x:f>
        <x:v>4.005174790925642</x:v>
      </x:c>
      <x:c r="I190" s="34"/>
      <x:c r="J190" s="6"/>
      <x:c r="K190" s="6"/>
      <x:c r="L190" s="6"/>
      <x:c r="M190" s="6"/>
      <x:c r="N190" s="6"/>
      <x:c r="O190" s="6"/>
      <x:c r="P190" s="6"/>
      <x:c r="Q190" s="6"/>
    </x:row>
    <x:row r="191" ht="19" customHeight="1">
      <x:c r="A191" s="6" t="str">
        <x:v>A3</x:v>
      </x:c>
      <x:c r="B191" s="34" t="n">
        <x:f>1/'МАИ суждения'!G22</x:f>
        <x:v>1</x:v>
      </x:c>
      <x:c r="C191" s="34" t="n">
        <x:f>1/'МАИ суждения'!G24</x:f>
        <x:v>2</x:v>
      </x:c>
      <x:c r="D191" s="34" t="n">
        <x:f>1</x:f>
        <x:v>1</x:v>
      </x:c>
      <x:c r="E191" s="34" t="n">
        <x:f>'МАИ суждения'!G26</x:f>
        <x:v>4</x:v>
      </x:c>
      <x:c r="F191" s="34" t="n">
        <x:f>(PRODUCT(B191:E191))^(1/4)</x:f>
        <x:v>1.681792830507429</x:v>
      </x:c>
      <x:c r="G191" s="34" t="n">
        <x:f>F191/SUM($F$189:$F$192)</x:f>
        <x:v>0.3704736444188071</x:v>
      </x:c>
      <x:c r="H191" s="34" t="n">
        <x:f>(B191*$G$189+C191*$G$190+D191*$G$191+E191*$G$192)/G191</x:f>
        <x:v>4.005174790925642</x:v>
      </x:c>
      <x:c r="I191" s="34"/>
      <x:c r="J191" s="6"/>
      <x:c r="K191" s="6"/>
      <x:c r="L191" s="6"/>
      <x:c r="M191" s="6"/>
      <x:c r="N191" s="6"/>
      <x:c r="O191" s="6"/>
      <x:c r="P191" s="6"/>
      <x:c r="Q191" s="6"/>
    </x:row>
    <x:row r="192" ht="19" customHeight="1">
      <x:c r="A192" s="6" t="str">
        <x:v>A4</x:v>
      </x:c>
      <x:c r="B192" s="34" t="n">
        <x:f>1/'МАИ суждения'!G23</x:f>
        <x:v>0.3333333333333333</x:v>
      </x:c>
      <x:c r="C192" s="34" t="n">
        <x:f>1/'МАИ суждения'!G25</x:f>
        <x:v>0.5</x:v>
      </x:c>
      <x:c r="D192" s="34" t="n">
        <x:f>1/'МАИ суждения'!G26</x:f>
        <x:v>0.25</x:v>
      </x:c>
      <x:c r="E192" s="34" t="n">
        <x:f>1</x:f>
        <x:v>1</x:v>
      </x:c>
      <x:c r="F192" s="34" t="n">
        <x:f>(PRODUCT(B192:E192))^(1/4)</x:f>
        <x:v>0.4518010018049224</x:v>
      </x:c>
      <x:c r="G192" s="34" t="n">
        <x:f>F192/SUM($F$189:$F$192)</x:f>
        <x:v>0.09952495970638416</x:v>
      </x:c>
      <x:c r="H192" s="34" t="n">
        <x:f>(B192*$G$189+C192*$G$190+D192*$G$191+E192*$G$192)/G192</x:f>
        <x:v>4.015910256583451</x:v>
      </x:c>
      <x:c r="I192" s="34"/>
      <x:c r="J192" s="6"/>
      <x:c r="K192" s="6"/>
      <x:c r="L192" s="6"/>
      <x:c r="M192" s="6"/>
      <x:c r="N192" s="6"/>
      <x:c r="O192" s="6"/>
      <x:c r="P192" s="6"/>
      <x:c r="Q192" s="6"/>
    </x:row>
    <x:row r="193" ht="19" customHeight="1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  <x:c r="M193" s="6"/>
      <x:c r="N193" s="6"/>
      <x:c r="O193" s="6"/>
      <x:c r="P193" s="6"/>
      <x:c r="Q193" s="6"/>
    </x:row>
    <x:row r="194" ht="19" customHeight="1">
      <x:c r="A194" s="32" t="str">
        <x:v>λmax</x:v>
      </x:c>
      <x:c r="B194" s="38" t="n">
        <x:f>AVERAGE(H189:H192)</x:f>
        <x:v>4.010356276466564</x:v>
      </x:c>
      <x:c r="C194" s="32" t="str">
        <x:v>CI</x:v>
      </x:c>
      <x:c r="D194" s="38" t="n">
        <x:f>(B194-4)/(4-1)</x:f>
        <x:v>0.0034520921555213726</x:v>
      </x:c>
      <x:c r="E194" s="32" t="str">
        <x:v>CR</x:v>
      </x:c>
      <x:c r="F194" s="38" t="n">
        <x:f>D194/0.9</x:f>
        <x:v>0.003835657950579303</x:v>
      </x:c>
      <x:c r="G194" s="32" t="str">
        <x:v>Статус</x:v>
      </x:c>
      <x:c r="H194" s="32" t="str">
        <x:f>IF(F194&lt;=0.1,"OK","Пересмотреть")</x:f>
        <x:v>OK</x:v>
      </x:c>
      <x:c r="I194" s="6"/>
      <x:c r="J194" s="6"/>
      <x:c r="K194" s="6"/>
      <x:c r="L194" s="6"/>
      <x:c r="M194" s="6"/>
      <x:c r="N194" s="6"/>
      <x:c r="O194" s="6"/>
      <x:c r="P194" s="6"/>
      <x:c r="Q194" s="6"/>
    </x:row>
    <x:row r="195" ht="19" customHeight="1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  <x:c r="M195" s="6"/>
      <x:c r="N195" s="6"/>
      <x:c r="O195" s="6"/>
      <x:c r="P195" s="6"/>
      <x:c r="Q195" s="6"/>
    </x:row>
    <x:row r="196" ht="19" customHeight="1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  <x:c r="K196" s="6"/>
      <x:c r="L196" s="6"/>
      <x:c r="M196" s="6"/>
      <x:c r="N196" s="6"/>
      <x:c r="O196" s="6"/>
      <x:c r="P196" s="6"/>
      <x:c r="Q196" s="6"/>
    </x:row>
    <x:row r="197" ht="19" customHeight="1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  <x:c r="K197" s="6"/>
      <x:c r="L197" s="6"/>
      <x:c r="M197" s="6"/>
      <x:c r="N197" s="6"/>
      <x:c r="O197" s="6"/>
      <x:c r="P197" s="6"/>
      <x:c r="Q197" s="6"/>
    </x:row>
    <x:row r="198" ht="19" customHeight="1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  <x:c r="K198" s="6"/>
      <x:c r="L198" s="6"/>
      <x:c r="M198" s="6"/>
      <x:c r="N198" s="6"/>
      <x:c r="O198" s="6"/>
      <x:c r="P198" s="6"/>
      <x:c r="Q198" s="6"/>
    </x:row>
    <x:row r="199" ht="19" customHeight="1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  <x:c r="K199" s="6"/>
      <x:c r="L199" s="6"/>
      <x:c r="M199" s="6"/>
      <x:c r="N199" s="6"/>
      <x:c r="O199" s="6"/>
      <x:c r="P199" s="6"/>
      <x:c r="Q199" s="6"/>
    </x:row>
    <x:row r="200" ht="26" customHeight="1">
      <x:c r="A200" s="25" t="str">
        <x:v>Участник 3 | Альтернативы по K3</x:v>
      </x:c>
      <x:c r="B200" s="25"/>
      <x:c r="C200" s="25"/>
      <x:c r="D200" s="25"/>
      <x:c r="E200" s="25"/>
      <x:c r="F200" s="25"/>
      <x:c r="G200" s="25"/>
      <x:c r="H200" s="25"/>
      <x:c r="I200" s="25"/>
      <x:c r="J200" s="6"/>
      <x:c r="K200" s="6"/>
      <x:c r="L200" s="6"/>
      <x:c r="M200" s="6"/>
      <x:c r="N200" s="6"/>
      <x:c r="O200" s="6"/>
      <x:c r="P200" s="6"/>
      <x:c r="Q200" s="6"/>
    </x:row>
    <x:row r="201" ht="30" customHeight="1">
      <x:c r="A201" s="17" t="str">
        <x:v>Объект</x:v>
      </x:c>
      <x:c r="B201" s="17" t="str">
        <x:v>A1</x:v>
      </x:c>
      <x:c r="C201" s="17" t="str">
        <x:v>A2</x:v>
      </x:c>
      <x:c r="D201" s="17" t="str">
        <x:v>A3</x:v>
      </x:c>
      <x:c r="E201" s="17" t="str">
        <x:v>A4</x:v>
      </x:c>
      <x:c r="F201" s="17" t="str">
        <x:v>Геом.</x:v>
      </x:c>
      <x:c r="G201" s="17" t="str">
        <x:v>Приоритет</x:v>
      </x:c>
      <x:c r="H201" s="17" t="str">
        <x:v>(Aw)/w</x:v>
      </x:c>
      <x:c r="I201" s="6"/>
      <x:c r="J201" s="6"/>
      <x:c r="K201" s="6"/>
      <x:c r="L201" s="6"/>
      <x:c r="M201" s="6"/>
      <x:c r="N201" s="6"/>
      <x:c r="O201" s="6"/>
      <x:c r="P201" s="6"/>
      <x:c r="Q201" s="6"/>
    </x:row>
    <x:row r="202" ht="19" customHeight="1">
      <x:c r="A202" s="6" t="str">
        <x:v>A1</x:v>
      </x:c>
      <x:c r="B202" s="34" t="n">
        <x:f>1</x:f>
        <x:v>1</x:v>
      </x:c>
      <x:c r="C202" s="34" t="n">
        <x:f>'МАИ суждения'!G27</x:f>
        <x:v>1</x:v>
      </x:c>
      <x:c r="D202" s="34" t="n">
        <x:f>'МАИ суждения'!G28</x:f>
        <x:v>2</x:v>
      </x:c>
      <x:c r="E202" s="34" t="n">
        <x:f>'МАИ суждения'!G29</x:f>
        <x:v>4</x:v>
      </x:c>
      <x:c r="F202" s="34" t="n">
        <x:f>(PRODUCT(B202:E202))^(1/4)</x:f>
        <x:v>1.681792830507429</x:v>
      </x:c>
      <x:c r="G202" s="34" t="n">
        <x:f>F202/SUM($F$202:$F$205)</x:f>
        <x:v>0.3560641200068386</x:v>
      </x:c>
      <x:c r="H202" s="34" t="n">
        <x:f>(B202*$G$202+C202*$G$203+D202*$G$204+E202*$G$205)/G202</x:f>
        <x:v>4.010283923310166</x:v>
      </x:c>
      <x:c r="I202" s="34"/>
      <x:c r="J202" s="6"/>
      <x:c r="K202" s="6"/>
      <x:c r="L202" s="6"/>
      <x:c r="M202" s="6"/>
      <x:c r="N202" s="6"/>
      <x:c r="O202" s="6"/>
      <x:c r="P202" s="6"/>
      <x:c r="Q202" s="6"/>
    </x:row>
    <x:row r="203" ht="19" customHeight="1">
      <x:c r="A203" s="6" t="str">
        <x:v>A2</x:v>
      </x:c>
      <x:c r="B203" s="34" t="n">
        <x:f>1/'МАИ суждения'!G27</x:f>
        <x:v>1</x:v>
      </x:c>
      <x:c r="C203" s="34" t="n">
        <x:f>1</x:f>
        <x:v>1</x:v>
      </x:c>
      <x:c r="D203" s="34" t="n">
        <x:f>'МАИ суждения'!G30</x:f>
        <x:v>3</x:v>
      </x:c>
      <x:c r="E203" s="34" t="n">
        <x:f>'МАИ суждения'!G31</x:f>
        <x:v>4</x:v>
      </x:c>
      <x:c r="F203" s="34" t="n">
        <x:f>(PRODUCT(B203:E203))^(1/4)</x:f>
        <x:v>1.8612097182041991</x:v>
      </x:c>
      <x:c r="G203" s="34" t="n">
        <x:f>F203/SUM($F$202:$F$205)</x:f>
        <x:v>0.39404972386557385</x:v>
      </x:c>
      <x:c r="H203" s="34" t="n">
        <x:f>(B203*$G$202+C203*$G$203+D203*$G$204+E203*$G$205)/G203</x:f>
        <x:v>4.031948878611279</x:v>
      </x:c>
      <x:c r="I203" s="34"/>
      <x:c r="J203" s="6"/>
      <x:c r="K203" s="6"/>
      <x:c r="L203" s="6"/>
      <x:c r="M203" s="6"/>
      <x:c r="N203" s="6"/>
      <x:c r="O203" s="6"/>
      <x:c r="P203" s="6"/>
      <x:c r="Q203" s="6"/>
    </x:row>
    <x:row r="204" ht="19" customHeight="1">
      <x:c r="A204" s="6" t="str">
        <x:v>A3</x:v>
      </x:c>
      <x:c r="B204" s="34" t="n">
        <x:f>1/'МАИ суждения'!G28</x:f>
        <x:v>0.5</x:v>
      </x:c>
      <x:c r="C204" s="34" t="n">
        <x:f>1/'МАИ суждения'!G30</x:f>
        <x:v>0.3333333333333333</x:v>
      </x:c>
      <x:c r="D204" s="34" t="n">
        <x:f>1</x:f>
        <x:v>1</x:v>
      </x:c>
      <x:c r="E204" s="34" t="n">
        <x:f>'МАИ суждения'!G32</x:f>
        <x:v>2</x:v>
      </x:c>
      <x:c r="F204" s="34" t="n">
        <x:f>(PRODUCT(B204:E204))^(1/4)</x:f>
        <x:v>0.7598356856515925</x:v>
      </x:c>
      <x:c r="G204" s="34" t="n">
        <x:f>F204/SUM($F$202:$F$205)</x:f>
        <x:v>0.1608701261258778</x:v>
      </x:c>
      <x:c r="H204" s="34" t="n">
        <x:f>(B204*$G$202+C204*$G$203+D204*$G$204+E204*$G$205)/G204</x:f>
        <x:v>4.02986042032837</x:v>
      </x:c>
      <x:c r="I204" s="34"/>
      <x:c r="J204" s="6"/>
      <x:c r="K204" s="6"/>
      <x:c r="L204" s="6"/>
      <x:c r="M204" s="6"/>
      <x:c r="N204" s="6"/>
      <x:c r="O204" s="6"/>
      <x:c r="P204" s="6"/>
      <x:c r="Q204" s="6"/>
    </x:row>
    <x:row r="205" ht="19" customHeight="1">
      <x:c r="A205" s="6" t="str">
        <x:v>A4</x:v>
      </x:c>
      <x:c r="B205" s="34" t="n">
        <x:f>1/'МАИ суждения'!G29</x:f>
        <x:v>0.25</x:v>
      </x:c>
      <x:c r="C205" s="34" t="n">
        <x:f>1/'МАИ суждения'!G31</x:f>
        <x:v>0.25</x:v>
      </x:c>
      <x:c r="D205" s="34" t="n">
        <x:f>1/'МАИ суждения'!G32</x:f>
        <x:v>0.5</x:v>
      </x:c>
      <x:c r="E205" s="34" t="n">
        <x:f>1</x:f>
        <x:v>1</x:v>
      </x:c>
      <x:c r="F205" s="34" t="n">
        <x:f>(PRODUCT(B205:E205))^(1/4)</x:f>
        <x:v>0.42044820762685725</x:v>
      </x:c>
      <x:c r="G205" s="34" t="n">
        <x:f>F205/SUM($F$202:$F$205)</x:f>
        <x:v>0.08901603000170966</x:v>
      </x:c>
      <x:c r="H205" s="34" t="n">
        <x:f>(B205*$G$202+C205*$G$203+D205*$G$204+E205*$G$205)/G205</x:f>
        <x:v>4.010283923310166</x:v>
      </x:c>
      <x:c r="I205" s="34"/>
      <x:c r="J205" s="6"/>
      <x:c r="K205" s="6"/>
      <x:c r="L205" s="6"/>
      <x:c r="M205" s="6"/>
      <x:c r="N205" s="6"/>
      <x:c r="O205" s="6"/>
      <x:c r="P205" s="6"/>
      <x:c r="Q205" s="6"/>
    </x:row>
    <x:row r="206" ht="19" customHeight="1">
      <x:c r="A206" s="6"/>
      <x:c r="B206" s="6"/>
      <x:c r="C206" s="6"/>
      <x:c r="D206" s="6"/>
      <x:c r="E206" s="6"/>
      <x:c r="F206" s="6"/>
      <x:c r="G206" s="6"/>
      <x:c r="H206" s="6"/>
      <x:c r="I206" s="6"/>
      <x:c r="J206" s="6"/>
      <x:c r="K206" s="6"/>
      <x:c r="L206" s="6"/>
      <x:c r="M206" s="6"/>
      <x:c r="N206" s="6"/>
      <x:c r="O206" s="6"/>
      <x:c r="P206" s="6"/>
      <x:c r="Q206" s="6"/>
    </x:row>
    <x:row r="207" ht="19" customHeight="1">
      <x:c r="A207" s="32" t="str">
        <x:v>λmax</x:v>
      </x:c>
      <x:c r="B207" s="38" t="n">
        <x:f>AVERAGE(H202:H205)</x:f>
        <x:v>4.020594286389995</x:v>
      </x:c>
      <x:c r="C207" s="32" t="str">
        <x:v>CI</x:v>
      </x:c>
      <x:c r="D207" s="38" t="n">
        <x:f>(B207-4)/(4-1)</x:f>
        <x:v>0.006864762129998425</x:v>
      </x:c>
      <x:c r="E207" s="32" t="str">
        <x:v>CR</x:v>
      </x:c>
      <x:c r="F207" s="38" t="n">
        <x:f>D207/0.9</x:f>
        <x:v>0.007627513477776028</x:v>
      </x:c>
      <x:c r="G207" s="32" t="str">
        <x:v>Статус</x:v>
      </x:c>
      <x:c r="H207" s="32" t="str">
        <x:f>IF(F207&lt;=0.1,"OK","Пересмотреть")</x:f>
        <x:v>OK</x:v>
      </x:c>
      <x:c r="I207" s="6"/>
      <x:c r="J207" s="6"/>
      <x:c r="K207" s="6"/>
      <x:c r="L207" s="6"/>
      <x:c r="M207" s="6"/>
      <x:c r="N207" s="6"/>
      <x:c r="O207" s="6"/>
      <x:c r="P207" s="6"/>
      <x:c r="Q207" s="6"/>
    </x:row>
    <x:row r="208" ht="19" customHeight="1">
      <x:c r="A208" s="6"/>
      <x:c r="B208" s="6"/>
      <x:c r="C208" s="6"/>
      <x:c r="D208" s="6"/>
      <x:c r="E208" s="6"/>
      <x:c r="F208" s="6"/>
      <x:c r="G208" s="6"/>
      <x:c r="H208" s="6"/>
      <x:c r="I208" s="6"/>
      <x:c r="J208" s="6"/>
      <x:c r="K208" s="6"/>
      <x:c r="L208" s="6"/>
      <x:c r="M208" s="6"/>
      <x:c r="N208" s="6"/>
      <x:c r="O208" s="6"/>
      <x:c r="P208" s="6"/>
      <x:c r="Q208" s="6"/>
    </x:row>
    <x:row r="209" ht="19" customHeight="1">
      <x:c r="A209" s="6"/>
      <x:c r="B209" s="6"/>
      <x:c r="C209" s="6"/>
      <x:c r="D209" s="6"/>
      <x:c r="E209" s="6"/>
      <x:c r="F209" s="6"/>
      <x:c r="G209" s="6"/>
      <x:c r="H209" s="6"/>
      <x:c r="I209" s="6"/>
      <x:c r="J209" s="6"/>
      <x:c r="K209" s="6"/>
      <x:c r="L209" s="6"/>
      <x:c r="M209" s="6"/>
      <x:c r="N209" s="6"/>
      <x:c r="O209" s="6"/>
      <x:c r="P209" s="6"/>
      <x:c r="Q209" s="6"/>
    </x:row>
    <x:row r="210" ht="19" customHeight="1">
      <x:c r="A210" s="6"/>
      <x:c r="B210" s="6"/>
      <x:c r="C210" s="6"/>
      <x:c r="D210" s="6"/>
      <x:c r="E210" s="6"/>
      <x:c r="F210" s="6"/>
      <x:c r="G210" s="6"/>
      <x:c r="H210" s="6"/>
      <x:c r="I210" s="6"/>
      <x:c r="J210" s="6"/>
      <x:c r="K210" s="6"/>
      <x:c r="L210" s="6"/>
      <x:c r="M210" s="6"/>
      <x:c r="N210" s="6"/>
      <x:c r="O210" s="6"/>
      <x:c r="P210" s="6"/>
      <x:c r="Q210" s="6"/>
    </x:row>
    <x:row r="211" ht="19" customHeight="1">
      <x:c r="A211" s="6"/>
      <x:c r="B211" s="6"/>
      <x:c r="C211" s="6"/>
      <x:c r="D211" s="6"/>
      <x:c r="E211" s="6"/>
      <x:c r="F211" s="6"/>
      <x:c r="G211" s="6"/>
      <x:c r="H211" s="6"/>
      <x:c r="I211" s="6"/>
      <x:c r="J211" s="6"/>
      <x:c r="K211" s="6"/>
      <x:c r="L211" s="6"/>
      <x:c r="M211" s="6"/>
      <x:c r="N211" s="6"/>
      <x:c r="O211" s="6"/>
      <x:c r="P211" s="6"/>
      <x:c r="Q211" s="6"/>
    </x:row>
    <x:row r="212" ht="19" customHeight="1">
      <x:c r="A212" s="6"/>
      <x:c r="B212" s="6"/>
      <x:c r="C212" s="6"/>
      <x:c r="D212" s="6"/>
      <x:c r="E212" s="6"/>
      <x:c r="F212" s="6"/>
      <x:c r="G212" s="6"/>
      <x:c r="H212" s="6"/>
      <x:c r="I212" s="6"/>
      <x:c r="J212" s="6"/>
      <x:c r="K212" s="6"/>
      <x:c r="L212" s="6"/>
      <x:c r="M212" s="6"/>
      <x:c r="N212" s="6"/>
      <x:c r="O212" s="6"/>
      <x:c r="P212" s="6"/>
      <x:c r="Q212" s="6"/>
    </x:row>
    <x:row r="213" ht="26" customHeight="1">
      <x:c r="A213" s="25" t="str">
        <x:v>Участник 3 | Альтернативы по K4</x:v>
      </x:c>
      <x:c r="B213" s="25"/>
      <x:c r="C213" s="25"/>
      <x:c r="D213" s="25"/>
      <x:c r="E213" s="25"/>
      <x:c r="F213" s="25"/>
      <x:c r="G213" s="25"/>
      <x:c r="H213" s="25"/>
      <x:c r="I213" s="25"/>
      <x:c r="J213" s="6"/>
      <x:c r="K213" s="6"/>
      <x:c r="L213" s="6"/>
      <x:c r="M213" s="6"/>
      <x:c r="N213" s="6"/>
      <x:c r="O213" s="6"/>
      <x:c r="P213" s="6"/>
      <x:c r="Q213" s="6"/>
    </x:row>
    <x:row r="214" ht="30" customHeight="1">
      <x:c r="A214" s="17" t="str">
        <x:v>Объект</x:v>
      </x:c>
      <x:c r="B214" s="17" t="str">
        <x:v>A1</x:v>
      </x:c>
      <x:c r="C214" s="17" t="str">
        <x:v>A2</x:v>
      </x:c>
      <x:c r="D214" s="17" t="str">
        <x:v>A3</x:v>
      </x:c>
      <x:c r="E214" s="17" t="str">
        <x:v>A4</x:v>
      </x:c>
      <x:c r="F214" s="17" t="str">
        <x:v>Геом.</x:v>
      </x:c>
      <x:c r="G214" s="17" t="str">
        <x:v>Приоритет</x:v>
      </x:c>
      <x:c r="H214" s="17" t="str">
        <x:v>(Aw)/w</x:v>
      </x:c>
      <x:c r="I214" s="6"/>
      <x:c r="J214" s="6"/>
      <x:c r="K214" s="6"/>
      <x:c r="L214" s="6"/>
      <x:c r="M214" s="6"/>
      <x:c r="N214" s="6"/>
      <x:c r="O214" s="6"/>
      <x:c r="P214" s="6"/>
      <x:c r="Q214" s="6"/>
    </x:row>
    <x:row r="215" ht="19" customHeight="1">
      <x:c r="A215" s="6" t="str">
        <x:v>A1</x:v>
      </x:c>
      <x:c r="B215" s="34" t="n">
        <x:f>1</x:f>
        <x:v>1</x:v>
      </x:c>
      <x:c r="C215" s="34" t="n">
        <x:f>'МАИ суждения'!G33</x:f>
        <x:v>1</x:v>
      </x:c>
      <x:c r="D215" s="34" t="n">
        <x:f>'МАИ суждения'!G34</x:f>
        <x:v>2</x:v>
      </x:c>
      <x:c r="E215" s="34" t="n">
        <x:f>'МАИ суждения'!G35</x:f>
        <x:v>4</x:v>
      </x:c>
      <x:c r="F215" s="34" t="n">
        <x:f>(PRODUCT(B215:E215))^(1/4)</x:f>
        <x:v>1.681792830507429</x:v>
      </x:c>
      <x:c r="G215" s="34" t="n">
        <x:f>F215/SUM($F$215:$F$218)</x:f>
        <x:v>0.37047364441880704</x:v>
      </x:c>
      <x:c r="H215" s="34" t="n">
        <x:f>(B215*$G$215+C215*$G$216+D215*$G$217+E215*$G$218)/G215</x:f>
        <x:v>4.005174790925642</x:v>
      </x:c>
      <x:c r="I215" s="34"/>
      <x:c r="J215" s="6"/>
      <x:c r="K215" s="6"/>
      <x:c r="L215" s="6"/>
      <x:c r="M215" s="6"/>
      <x:c r="N215" s="6"/>
      <x:c r="O215" s="6"/>
      <x:c r="P215" s="6"/>
      <x:c r="Q215" s="6"/>
    </x:row>
    <x:row r="216" ht="19" customHeight="1">
      <x:c r="A216" s="6" t="str">
        <x:v>A2</x:v>
      </x:c>
      <x:c r="B216" s="34" t="n">
        <x:f>1/'МАИ суждения'!G33</x:f>
        <x:v>1</x:v>
      </x:c>
      <x:c r="C216" s="34" t="n">
        <x:f>1</x:f>
        <x:v>1</x:v>
      </x:c>
      <x:c r="D216" s="34" t="n">
        <x:f>'МАИ суждения'!G36</x:f>
        <x:v>2</x:v>
      </x:c>
      <x:c r="E216" s="34" t="n">
        <x:f>'МАИ суждения'!G37</x:f>
        <x:v>3</x:v>
      </x:c>
      <x:c r="F216" s="34" t="n">
        <x:f>(PRODUCT(B216:E216))^(1/4)</x:f>
        <x:v>1.5650845800732873</x:v>
      </x:c>
      <x:c r="G216" s="34" t="n">
        <x:f>F216/SUM($F$215:$F$218)</x:f>
        <x:v>0.34476457366540525</x:v>
      </x:c>
      <x:c r="H216" s="34" t="n">
        <x:f>(B216*$G$215+C216*$G$216+D216*$G$217+E216*$G$218)/G216</x:f>
        <x:v>4.015165267431523</x:v>
      </x:c>
      <x:c r="I216" s="34"/>
      <x:c r="J216" s="6"/>
      <x:c r="K216" s="6"/>
      <x:c r="L216" s="6"/>
      <x:c r="M216" s="6"/>
      <x:c r="N216" s="6"/>
      <x:c r="O216" s="6"/>
      <x:c r="P216" s="6"/>
      <x:c r="Q216" s="6"/>
    </x:row>
    <x:row r="217" ht="19" customHeight="1">
      <x:c r="A217" s="6" t="str">
        <x:v>A3</x:v>
      </x:c>
      <x:c r="B217" s="34" t="n">
        <x:f>1/'МАИ суждения'!G34</x:f>
        <x:v>0.5</x:v>
      </x:c>
      <x:c r="C217" s="34" t="n">
        <x:f>1/'МАИ суждения'!G36</x:f>
        <x:v>0.5</x:v>
      </x:c>
      <x:c r="D217" s="34" t="n">
        <x:f>1</x:f>
        <x:v>1</x:v>
      </x:c>
      <x:c r="E217" s="34" t="n">
        <x:f>'МАИ суждения'!G38</x:f>
        <x:v>2</x:v>
      </x:c>
      <x:c r="F217" s="34" t="n">
        <x:f>(PRODUCT(B217:E217))^(1/4)</x:f>
        <x:v>0.8408964152537145</x:v>
      </x:c>
      <x:c r="G217" s="34" t="n">
        <x:f>F217/SUM($F$215:$F$218)</x:f>
        <x:v>0.18523682220940352</x:v>
      </x:c>
      <x:c r="H217" s="34" t="n">
        <x:f>(B217*$G$215+C217*$G$216+D217*$G$217+E217*$G$218)/G217</x:f>
        <x:v>4.005174790925642</x:v>
      </x:c>
      <x:c r="I217" s="34"/>
      <x:c r="J217" s="6"/>
      <x:c r="K217" s="6"/>
      <x:c r="L217" s="6"/>
      <x:c r="M217" s="6"/>
      <x:c r="N217" s="6"/>
      <x:c r="O217" s="6"/>
      <x:c r="P217" s="6"/>
      <x:c r="Q217" s="6"/>
    </x:row>
    <x:row r="218" ht="19" customHeight="1">
      <x:c r="A218" s="6" t="str">
        <x:v>A4</x:v>
      </x:c>
      <x:c r="B218" s="34" t="n">
        <x:f>1/'МАИ суждения'!G35</x:f>
        <x:v>0.25</x:v>
      </x:c>
      <x:c r="C218" s="34" t="n">
        <x:f>1/'МАИ суждения'!G37</x:f>
        <x:v>0.3333333333333333</x:v>
      </x:c>
      <x:c r="D218" s="34" t="n">
        <x:f>1/'МАИ суждения'!G38</x:f>
        <x:v>0.5</x:v>
      </x:c>
      <x:c r="E218" s="34" t="n">
        <x:f>1</x:f>
        <x:v>1</x:v>
      </x:c>
      <x:c r="F218" s="34" t="n">
        <x:f>(PRODUCT(B218:E218))^(1/4)</x:f>
        <x:v>0.4518010018049224</x:v>
      </x:c>
      <x:c r="G218" s="34" t="n">
        <x:f>F218/SUM($F$215:$F$218)</x:f>
        <x:v>0.09952495970638414</x:v>
      </x:c>
      <x:c r="H218" s="34" t="n">
        <x:f>(B218*$G$215+C218*$G$216+D218*$G$217+E218*$G$218)/G218</x:f>
        <x:v>4.01591025658345</x:v>
      </x:c>
      <x:c r="I218" s="34"/>
      <x:c r="J218" s="6"/>
      <x:c r="K218" s="6"/>
      <x:c r="L218" s="6"/>
      <x:c r="M218" s="6"/>
      <x:c r="N218" s="6"/>
      <x:c r="O218" s="6"/>
      <x:c r="P218" s="6"/>
      <x:c r="Q218" s="6"/>
    </x:row>
    <x:row r="219" ht="19" customHeight="1">
      <x:c r="A219" s="6"/>
      <x:c r="B219" s="6"/>
      <x:c r="C219" s="6"/>
      <x:c r="D219" s="6"/>
      <x:c r="E219" s="6"/>
      <x:c r="F219" s="6"/>
      <x:c r="G219" s="6"/>
      <x:c r="H219" s="6"/>
      <x:c r="I219" s="6"/>
      <x:c r="J219" s="6"/>
      <x:c r="K219" s="6"/>
      <x:c r="L219" s="6"/>
      <x:c r="M219" s="6"/>
      <x:c r="N219" s="6"/>
      <x:c r="O219" s="6"/>
      <x:c r="P219" s="6"/>
      <x:c r="Q219" s="6"/>
    </x:row>
    <x:row r="220" ht="19" customHeight="1">
      <x:c r="A220" s="32" t="str">
        <x:v>λmax</x:v>
      </x:c>
      <x:c r="B220" s="38" t="n">
        <x:f>AVERAGE(H215:H218)</x:f>
        <x:v>4.010356276466564</x:v>
      </x:c>
      <x:c r="C220" s="32" t="str">
        <x:v>CI</x:v>
      </x:c>
      <x:c r="D220" s="38" t="n">
        <x:f>(B220-4)/(4-1)</x:f>
        <x:v>0.0034520921555213726</x:v>
      </x:c>
      <x:c r="E220" s="32" t="str">
        <x:v>CR</x:v>
      </x:c>
      <x:c r="F220" s="38" t="n">
        <x:f>D220/0.9</x:f>
        <x:v>0.003835657950579303</x:v>
      </x:c>
      <x:c r="G220" s="32" t="str">
        <x:v>Статус</x:v>
      </x:c>
      <x:c r="H220" s="32" t="str">
        <x:f>IF(F220&lt;=0.1,"OK","Пересмотреть")</x:f>
        <x:v>OK</x:v>
      </x:c>
      <x:c r="I220" s="6"/>
      <x:c r="J220" s="6"/>
      <x:c r="K220" s="6"/>
      <x:c r="L220" s="6"/>
      <x:c r="M220" s="6"/>
      <x:c r="N220" s="6"/>
      <x:c r="O220" s="6"/>
      <x:c r="P220" s="6"/>
      <x:c r="Q220" s="6"/>
    </x:row>
    <x:row r="221" ht="19" customHeight="1">
      <x:c r="A221" s="6"/>
      <x:c r="B221" s="6"/>
      <x:c r="C221" s="6"/>
      <x:c r="D221" s="6"/>
      <x:c r="E221" s="6"/>
      <x:c r="F221" s="6"/>
      <x:c r="G221" s="6"/>
      <x:c r="H221" s="6"/>
      <x:c r="I221" s="6"/>
      <x:c r="J221" s="6"/>
      <x:c r="K221" s="6"/>
      <x:c r="L221" s="6"/>
      <x:c r="M221" s="6"/>
      <x:c r="N221" s="6"/>
      <x:c r="O221" s="6"/>
      <x:c r="P221" s="6"/>
      <x:c r="Q221" s="6"/>
    </x:row>
    <x:row r="222" ht="19" customHeight="1">
      <x:c r="A222" s="6"/>
      <x:c r="B222" s="6"/>
      <x:c r="C222" s="6"/>
      <x:c r="D222" s="6"/>
      <x:c r="E222" s="6"/>
      <x:c r="F222" s="6"/>
      <x:c r="G222" s="6"/>
      <x:c r="H222" s="6"/>
      <x:c r="I222" s="6"/>
      <x:c r="J222" s="6"/>
      <x:c r="K222" s="6"/>
      <x:c r="L222" s="6"/>
      <x:c r="M222" s="6"/>
      <x:c r="N222" s="6"/>
      <x:c r="O222" s="6"/>
      <x:c r="P222" s="6"/>
      <x:c r="Q222" s="6"/>
    </x:row>
    <x:row r="223" ht="19" customHeight="1">
      <x:c r="A223" s="6"/>
      <x:c r="B223" s="6"/>
      <x:c r="C223" s="6"/>
      <x:c r="D223" s="6"/>
      <x:c r="E223" s="6"/>
      <x:c r="F223" s="6"/>
      <x:c r="G223" s="6"/>
      <x:c r="H223" s="6"/>
      <x:c r="I223" s="6"/>
      <x:c r="J223" s="6"/>
      <x:c r="K223" s="6"/>
      <x:c r="L223" s="6"/>
      <x:c r="M223" s="6"/>
      <x:c r="N223" s="6"/>
      <x:c r="O223" s="6"/>
      <x:c r="P223" s="6"/>
      <x:c r="Q223" s="6"/>
    </x:row>
    <x:row r="224" ht="19" customHeight="1">
      <x:c r="A224" s="6"/>
      <x:c r="B224" s="6"/>
      <x:c r="C224" s="6"/>
      <x:c r="D224" s="6"/>
      <x:c r="E224" s="6"/>
      <x:c r="F224" s="6"/>
      <x:c r="G224" s="6"/>
      <x:c r="H224" s="6"/>
      <x:c r="I224" s="6"/>
      <x:c r="J224" s="6"/>
      <x:c r="K224" s="6"/>
      <x:c r="L224" s="6"/>
      <x:c r="M224" s="6"/>
      <x:c r="N224" s="6"/>
      <x:c r="O224" s="6"/>
      <x:c r="P224" s="6"/>
      <x:c r="Q224" s="6"/>
    </x:row>
    <x:row r="225" ht="19" customHeight="1">
      <x:c r="A225" s="6"/>
      <x:c r="B225" s="6"/>
      <x:c r="C225" s="6"/>
      <x:c r="D225" s="6"/>
      <x:c r="E225" s="6"/>
      <x:c r="F225" s="6"/>
      <x:c r="G225" s="6"/>
      <x:c r="H225" s="6"/>
      <x:c r="I225" s="6"/>
      <x:c r="J225" s="6"/>
      <x:c r="K225" s="6"/>
      <x:c r="L225" s="6"/>
      <x:c r="M225" s="6"/>
      <x:c r="N225" s="6"/>
      <x:c r="O225" s="6"/>
      <x:c r="P225" s="6"/>
      <x:c r="Q225" s="6"/>
    </x:row>
    <x:row r="226" ht="26" customHeight="1">
      <x:c r="A226" s="25" t="str">
        <x:v>Участник 3 | Альтернативы по K5</x:v>
      </x:c>
      <x:c r="B226" s="25"/>
      <x:c r="C226" s="25"/>
      <x:c r="D226" s="25"/>
      <x:c r="E226" s="25"/>
      <x:c r="F226" s="25"/>
      <x:c r="G226" s="25"/>
      <x:c r="H226" s="25"/>
      <x:c r="I226" s="25"/>
      <x:c r="J226" s="6"/>
      <x:c r="K226" s="6"/>
      <x:c r="L226" s="6"/>
      <x:c r="M226" s="6"/>
      <x:c r="N226" s="6"/>
      <x:c r="O226" s="6"/>
      <x:c r="P226" s="6"/>
      <x:c r="Q226" s="6"/>
    </x:row>
    <x:row r="227" ht="30" customHeight="1">
      <x:c r="A227" s="17" t="str">
        <x:v>Объект</x:v>
      </x:c>
      <x:c r="B227" s="17" t="str">
        <x:v>A1</x:v>
      </x:c>
      <x:c r="C227" s="17" t="str">
        <x:v>A2</x:v>
      </x:c>
      <x:c r="D227" s="17" t="str">
        <x:v>A3</x:v>
      </x:c>
      <x:c r="E227" s="17" t="str">
        <x:v>A4</x:v>
      </x:c>
      <x:c r="F227" s="17" t="str">
        <x:v>Геом.</x:v>
      </x:c>
      <x:c r="G227" s="17" t="str">
        <x:v>Приоритет</x:v>
      </x:c>
      <x:c r="H227" s="17" t="str">
        <x:v>(Aw)/w</x:v>
      </x:c>
      <x:c r="I227" s="6"/>
      <x:c r="J227" s="6"/>
      <x:c r="K227" s="6"/>
      <x:c r="L227" s="6"/>
      <x:c r="M227" s="6"/>
      <x:c r="N227" s="6"/>
      <x:c r="O227" s="6"/>
      <x:c r="P227" s="6"/>
      <x:c r="Q227" s="6"/>
    </x:row>
    <x:row r="228" ht="19" customHeight="1">
      <x:c r="A228" s="6" t="str">
        <x:v>A1</x:v>
      </x:c>
      <x:c r="B228" s="34" t="n">
        <x:f>1</x:f>
        <x:v>1</x:v>
      </x:c>
      <x:c r="C228" s="34" t="n">
        <x:f>'МАИ суждения'!G39</x:f>
        <x:v>0.25</x:v>
      </x:c>
      <x:c r="D228" s="34" t="n">
        <x:f>'МАИ суждения'!G40</x:f>
        <x:v>0.5</x:v>
      </x:c>
      <x:c r="E228" s="34" t="n">
        <x:f>'МАИ суждения'!G41</x:f>
        <x:v>0.2</x:v>
      </x:c>
      <x:c r="F228" s="34" t="n">
        <x:f>(PRODUCT(B228:E228))^(1/4)</x:f>
        <x:v>0.3976353643835253</x:v>
      </x:c>
      <x:c r="G228" s="34" t="n">
        <x:f>F228/SUM($F$228:$F$231)</x:f>
        <x:v>0.08289319685915082</x:v>
      </x:c>
      <x:c r="H228" s="34" t="n">
        <x:f>(B228*$G$228+C228*$G$229+D228*$G$230+E228*$G$231)/G228</x:f>
        <x:v>4.020043642864641</x:v>
      </x:c>
      <x:c r="I228" s="34"/>
      <x:c r="J228" s="6"/>
      <x:c r="K228" s="6"/>
      <x:c r="L228" s="6"/>
      <x:c r="M228" s="6"/>
      <x:c r="N228" s="6"/>
      <x:c r="O228" s="6"/>
      <x:c r="P228" s="6"/>
      <x:c r="Q228" s="6"/>
    </x:row>
    <x:row r="229" ht="19" customHeight="1">
      <x:c r="A229" s="6" t="str">
        <x:v>A2</x:v>
      </x:c>
      <x:c r="B229" s="34" t="n">
        <x:f>1/'МАИ суждения'!G39</x:f>
        <x:v>4</x:v>
      </x:c>
      <x:c r="C229" s="34" t="n">
        <x:f>1</x:f>
        <x:v>1</x:v>
      </x:c>
      <x:c r="D229" s="34" t="n">
        <x:f>'МАИ суждения'!G42</x:f>
        <x:v>3</x:v>
      </x:c>
      <x:c r="E229" s="34" t="n">
        <x:f>'МАИ суждения'!G43</x:f>
        <x:v>1</x:v>
      </x:c>
      <x:c r="F229" s="34" t="n">
        <x:f>(PRODUCT(B229:E229))^(1/4)</x:f>
        <x:v>1.8612097182041991</x:v>
      </x:c>
      <x:c r="G229" s="34" t="n">
        <x:f>F229/SUM($F$228:$F$231)</x:f>
        <x:v>0.387997742118476</x:v>
      </x:c>
      <x:c r="H229" s="34" t="n">
        <x:f>(B229*$G$228+C229*$G$229+D229*$G$230+E229*$G$231)/G229</x:f>
        <x:v>4.034761676388424</x:v>
      </x:c>
      <x:c r="I229" s="34"/>
      <x:c r="J229" s="6"/>
      <x:c r="K229" s="6"/>
      <x:c r="L229" s="6"/>
      <x:c r="M229" s="6"/>
      <x:c r="N229" s="6"/>
      <x:c r="O229" s="6"/>
      <x:c r="P229" s="6"/>
      <x:c r="Q229" s="6"/>
    </x:row>
    <x:row r="230" ht="19" customHeight="1">
      <x:c r="A230" s="6" t="str">
        <x:v>A3</x:v>
      </x:c>
      <x:c r="B230" s="34" t="n">
        <x:f>1/'МАИ суждения'!G40</x:f>
        <x:v>2</x:v>
      </x:c>
      <x:c r="C230" s="34" t="n">
        <x:f>1/'МАИ суждения'!G42</x:f>
        <x:v>0.3333333333333333</x:v>
      </x:c>
      <x:c r="D230" s="34" t="n">
        <x:f>1</x:f>
        <x:v>1</x:v>
      </x:c>
      <x:c r="E230" s="34" t="n">
        <x:f>'МАИ суждения'!G44</x:f>
        <x:v>0.5</x:v>
      </x:c>
      <x:c r="F230" s="34" t="n">
        <x:f>(PRODUCT(B230:E230))^(1/4)</x:f>
        <x:v>0.7598356856515925</x:v>
      </x:c>
      <x:c r="G230" s="34" t="n">
        <x:f>F230/SUM($F$228:$F$231)</x:f>
        <x:v>0.15839941492370663</x:v>
      </x:c>
      <x:c r="H230" s="34" t="n">
        <x:f>(B230*$G$228+C230*$G$229+D230*$G$230+E230*$G$231)/G230</x:f>
        <x:v>4.03330537998019</x:v>
      </x:c>
      <x:c r="I230" s="34"/>
      <x:c r="J230" s="6"/>
      <x:c r="K230" s="6"/>
      <x:c r="L230" s="6"/>
      <x:c r="M230" s="6"/>
      <x:c r="N230" s="6"/>
      <x:c r="O230" s="6"/>
      <x:c r="P230" s="6"/>
      <x:c r="Q230" s="6"/>
    </x:row>
    <x:row r="231" ht="19" customHeight="1">
      <x:c r="A231" s="6" t="str">
        <x:v>A4</x:v>
      </x:c>
      <x:c r="B231" s="34" t="n">
        <x:f>1/'МАИ суждения'!G41</x:f>
        <x:v>5</x:v>
      </x:c>
      <x:c r="C231" s="34" t="n">
        <x:f>1/'МАИ суждения'!G43</x:f>
        <x:v>1</x:v>
      </x:c>
      <x:c r="D231" s="34" t="n">
        <x:f>1/'МАИ суждения'!G44</x:f>
        <x:v>2</x:v>
      </x:c>
      <x:c r="E231" s="34" t="n">
        <x:f>1</x:f>
        <x:v>1</x:v>
      </x:c>
      <x:c r="F231" s="34" t="n">
        <x:f>(PRODUCT(B231:E231))^(1/4)</x:f>
        <x:v>1.7782794100389228</x:v>
      </x:c>
      <x:c r="G231" s="34" t="n">
        <x:f>F231/SUM($F$228:$F$231)</x:f>
        <x:v>0.3707096460986666</x:v>
      </x:c>
      <x:c r="H231" s="34" t="n">
        <x:f>(B231*$G$228+C231*$G$229+D231*$G$230+E231*$G$231)/G231</x:f>
        <x:v>4.019243140934469</x:v>
      </x:c>
      <x:c r="I231" s="34"/>
      <x:c r="J231" s="6"/>
      <x:c r="K231" s="6"/>
      <x:c r="L231" s="6"/>
      <x:c r="M231" s="6"/>
      <x:c r="N231" s="6"/>
      <x:c r="O231" s="6"/>
      <x:c r="P231" s="6"/>
      <x:c r="Q231" s="6"/>
    </x:row>
    <x:row r="232" ht="19" customHeight="1">
      <x:c r="A232" s="6"/>
      <x:c r="B232" s="6"/>
      <x:c r="C232" s="6"/>
      <x:c r="D232" s="6"/>
      <x:c r="E232" s="6"/>
      <x:c r="F232" s="6"/>
      <x:c r="G232" s="6"/>
      <x:c r="H232" s="6"/>
      <x:c r="I232" s="6"/>
      <x:c r="J232" s="6"/>
      <x:c r="K232" s="6"/>
      <x:c r="L232" s="6"/>
      <x:c r="M232" s="6"/>
      <x:c r="N232" s="6"/>
      <x:c r="O232" s="6"/>
      <x:c r="P232" s="6"/>
      <x:c r="Q232" s="6"/>
    </x:row>
    <x:row r="233" ht="19" customHeight="1">
      <x:c r="A233" s="32" t="str">
        <x:v>λmax</x:v>
      </x:c>
      <x:c r="B233" s="38" t="n">
        <x:f>AVERAGE(H228:H231)</x:f>
        <x:v>4.026838460041931</x:v>
      </x:c>
      <x:c r="C233" s="32" t="str">
        <x:v>CI</x:v>
      </x:c>
      <x:c r="D233" s="38" t="n">
        <x:f>(B233-4)/(4-1)</x:f>
        <x:v>0.008946153347310451</x:v>
      </x:c>
      <x:c r="E233" s="32" t="str">
        <x:v>CR</x:v>
      </x:c>
      <x:c r="F233" s="38" t="n">
        <x:f>D233/0.9</x:f>
        <x:v>0.0099401703859005</x:v>
      </x:c>
      <x:c r="G233" s="32" t="str">
        <x:v>Статус</x:v>
      </x:c>
      <x:c r="H233" s="32" t="str">
        <x:f>IF(F233&lt;=0.1,"OK","Пересмотреть")</x:f>
        <x:v>OK</x:v>
      </x:c>
      <x:c r="I233" s="6"/>
      <x:c r="J233" s="6"/>
      <x:c r="K233" s="6"/>
      <x:c r="L233" s="6"/>
      <x:c r="M233" s="6"/>
      <x:c r="N233" s="6"/>
      <x:c r="O233" s="6"/>
      <x:c r="P233" s="6"/>
      <x:c r="Q233" s="6"/>
    </x:row>
    <x:row r="234" ht="19" customHeight="1">
      <x:c r="A234" s="6"/>
      <x:c r="B234" s="6"/>
      <x:c r="C234" s="6"/>
      <x:c r="D234" s="6"/>
      <x:c r="E234" s="6"/>
      <x:c r="F234" s="6"/>
      <x:c r="G234" s="6"/>
      <x:c r="H234" s="6"/>
      <x:c r="I234" s="6"/>
      <x:c r="J234" s="6"/>
      <x:c r="K234" s="6"/>
      <x:c r="L234" s="6"/>
      <x:c r="M234" s="6"/>
      <x:c r="N234" s="6"/>
      <x:c r="O234" s="6"/>
      <x:c r="P234" s="6"/>
      <x:c r="Q234" s="6"/>
    </x:row>
    <x:row r="235" ht="19" customHeight="1">
      <x:c r="A235" s="6"/>
      <x:c r="B235" s="6"/>
      <x:c r="C235" s="6"/>
      <x:c r="D235" s="6"/>
      <x:c r="E235" s="6"/>
      <x:c r="F235" s="6"/>
      <x:c r="G235" s="6"/>
      <x:c r="H235" s="6"/>
      <x:c r="I235" s="6"/>
      <x:c r="J235" s="6"/>
      <x:c r="K235" s="6"/>
      <x:c r="L235" s="6"/>
      <x:c r="M235" s="6"/>
      <x:c r="N235" s="6"/>
      <x:c r="O235" s="6"/>
      <x:c r="P235" s="6"/>
      <x:c r="Q235" s="6"/>
    </x:row>
    <x:row r="236" ht="19" customHeight="1">
      <x:c r="A236" s="6"/>
      <x:c r="B236" s="6"/>
      <x:c r="C236" s="6"/>
      <x:c r="D236" s="6"/>
      <x:c r="E236" s="6"/>
      <x:c r="F236" s="6"/>
      <x:c r="G236" s="6"/>
      <x:c r="H236" s="6"/>
      <x:c r="I236" s="6"/>
      <x:c r="J236" s="6"/>
      <x:c r="K236" s="6"/>
      <x:c r="L236" s="6"/>
      <x:c r="M236" s="6"/>
      <x:c r="N236" s="6"/>
      <x:c r="O236" s="6"/>
      <x:c r="P236" s="6"/>
      <x:c r="Q236" s="6"/>
    </x:row>
    <x:row r="237" ht="19" customHeight="1">
      <x:c r="A237" s="6"/>
      <x:c r="B237" s="6"/>
      <x:c r="C237" s="6"/>
      <x:c r="D237" s="6"/>
      <x:c r="E237" s="6"/>
      <x:c r="F237" s="6"/>
      <x:c r="G237" s="6"/>
      <x:c r="H237" s="6"/>
      <x:c r="I237" s="6"/>
      <x:c r="J237" s="6"/>
      <x:c r="K237" s="6"/>
      <x:c r="L237" s="6"/>
      <x:c r="M237" s="6"/>
      <x:c r="N237" s="6"/>
      <x:c r="O237" s="6"/>
      <x:c r="P237" s="6"/>
      <x:c r="Q237" s="6"/>
    </x:row>
    <x:row r="238" ht="19" customHeight="1">
      <x:c r="A238" s="6"/>
      <x:c r="B238" s="6"/>
      <x:c r="C238" s="6"/>
      <x:c r="D238" s="6"/>
      <x:c r="E238" s="6"/>
      <x:c r="F238" s="6"/>
      <x:c r="G238" s="6"/>
      <x:c r="H238" s="6"/>
      <x:c r="I238" s="6"/>
      <x:c r="J238" s="6"/>
      <x:c r="K238" s="6"/>
      <x:c r="L238" s="6"/>
      <x:c r="M238" s="6"/>
      <x:c r="N238" s="6"/>
      <x:c r="O238" s="6"/>
      <x:c r="P238" s="6"/>
      <x:c r="Q238" s="6"/>
    </x:row>
    <x:row r="239" ht="19" customHeight="1">
      <x:c r="A239" s="6"/>
      <x:c r="B239" s="6"/>
      <x:c r="C239" s="6"/>
      <x:c r="D239" s="6"/>
      <x:c r="E239" s="6"/>
      <x:c r="F239" s="6"/>
      <x:c r="G239" s="6"/>
      <x:c r="H239" s="6"/>
      <x:c r="I239" s="6"/>
      <x:c r="J239" s="6"/>
      <x:c r="K239" s="6"/>
      <x:c r="L239" s="6"/>
      <x:c r="M239" s="6"/>
      <x:c r="N239" s="6"/>
      <x:c r="O239" s="6"/>
      <x:c r="P239" s="6"/>
      <x:c r="Q239" s="6"/>
    </x:row>
    <x:row r="240" ht="19" customHeight="1">
      <x:c r="A240" s="6"/>
      <x:c r="B240" s="6"/>
      <x:c r="C240" s="6"/>
      <x:c r="D240" s="6"/>
      <x:c r="E240" s="6"/>
      <x:c r="F240" s="6"/>
      <x:c r="G240" s="6"/>
      <x:c r="H240" s="6"/>
      <x:c r="I240" s="6"/>
      <x:c r="J240" s="6"/>
      <x:c r="K240" s="6"/>
      <x:c r="L240" s="6"/>
      <x:c r="M240" s="6"/>
      <x:c r="N240" s="6"/>
      <x:c r="O240" s="6"/>
      <x:c r="P240" s="6"/>
      <x:c r="Q240" s="6"/>
    </x:row>
    <x:row r="241" ht="19" customHeight="1">
      <x:c r="A241" s="6"/>
      <x:c r="B241" s="6"/>
      <x:c r="C241" s="6"/>
      <x:c r="D241" s="6"/>
      <x:c r="E241" s="6"/>
      <x:c r="F241" s="6"/>
      <x:c r="G241" s="6"/>
      <x:c r="H241" s="6"/>
      <x:c r="I241" s="6"/>
      <x:c r="J241" s="6"/>
      <x:c r="K241" s="6"/>
      <x:c r="L241" s="6"/>
      <x:c r="M241" s="6"/>
      <x:c r="N241" s="6"/>
      <x:c r="O241" s="6"/>
      <x:c r="P241" s="6"/>
      <x:c r="Q241" s="6"/>
    </x:row>
    <x:row r="242" ht="19" customHeight="1">
      <x:c r="A242" s="6"/>
      <x:c r="B242" s="6"/>
      <x:c r="C242" s="6"/>
      <x:c r="D242" s="6"/>
      <x:c r="E242" s="6"/>
      <x:c r="F242" s="6"/>
      <x:c r="G242" s="6"/>
      <x:c r="H242" s="6"/>
      <x:c r="I242" s="6"/>
      <x:c r="J242" s="6"/>
      <x:c r="K242" s="6"/>
      <x:c r="L242" s="6"/>
      <x:c r="M242" s="6"/>
      <x:c r="N242" s="6"/>
      <x:c r="O242" s="6"/>
      <x:c r="P242" s="6"/>
      <x:c r="Q242" s="6"/>
    </x:row>
    <x:row r="243" ht="19" customHeight="1">
      <x:c r="A243" s="6"/>
      <x:c r="B243" s="6"/>
      <x:c r="C243" s="6"/>
      <x:c r="D243" s="6"/>
      <x:c r="E243" s="6"/>
      <x:c r="F243" s="6"/>
      <x:c r="G243" s="6"/>
      <x:c r="H243" s="6"/>
      <x:c r="I243" s="6"/>
      <x:c r="J243" s="6"/>
      <x:c r="K243" s="6"/>
      <x:c r="L243" s="6"/>
      <x:c r="M243" s="6"/>
      <x:c r="N243" s="6"/>
      <x:c r="O243" s="6"/>
      <x:c r="P243" s="6"/>
      <x:c r="Q243" s="6"/>
    </x:row>
    <x:row r="244" ht="19" customHeight="1">
      <x:c r="A244" s="6"/>
      <x:c r="B244" s="6"/>
      <x:c r="C244" s="6"/>
      <x:c r="D244" s="6"/>
      <x:c r="E244" s="6"/>
      <x:c r="F244" s="6"/>
      <x:c r="G244" s="6"/>
      <x:c r="H244" s="6"/>
      <x:c r="I244" s="6"/>
      <x:c r="J244" s="6"/>
      <x:c r="K244" s="6"/>
      <x:c r="L244" s="6"/>
      <x:c r="M244" s="6"/>
      <x:c r="N244" s="6"/>
      <x:c r="O244" s="6"/>
      <x:c r="P244" s="6"/>
      <x:c r="Q244" s="6"/>
    </x:row>
    <x:row r="245" ht="19" customHeight="1">
      <x:c r="A245" s="6"/>
      <x:c r="B245" s="6"/>
      <x:c r="C245" s="6"/>
      <x:c r="D245" s="6"/>
      <x:c r="E245" s="6"/>
      <x:c r="F245" s="6"/>
      <x:c r="G245" s="6"/>
      <x:c r="H245" s="6"/>
      <x:c r="I245" s="6"/>
      <x:c r="J245" s="6"/>
      <x:c r="K245" s="6"/>
      <x:c r="L245" s="6"/>
      <x:c r="M245" s="6"/>
      <x:c r="N245" s="6"/>
      <x:c r="O245" s="6"/>
      <x:c r="P245" s="6"/>
      <x:c r="Q245" s="6"/>
    </x:row>
    <x:row r="246" ht="19" customHeight="1">
      <x:c r="A246" s="6"/>
      <x:c r="B246" s="6"/>
      <x:c r="C246" s="6"/>
      <x:c r="D246" s="6"/>
      <x:c r="E246" s="6"/>
      <x:c r="F246" s="6"/>
      <x:c r="G246" s="6"/>
      <x:c r="H246" s="6"/>
      <x:c r="I246" s="6"/>
      <x:c r="J246" s="6"/>
      <x:c r="K246" s="6"/>
      <x:c r="L246" s="6"/>
      <x:c r="M246" s="6"/>
      <x:c r="N246" s="6"/>
      <x:c r="O246" s="6"/>
      <x:c r="P246" s="6"/>
      <x:c r="Q246" s="6"/>
    </x:row>
    <x:row r="247" ht="19" customHeight="1">
      <x:c r="A247" s="6"/>
      <x:c r="B247" s="6"/>
      <x:c r="C247" s="6"/>
      <x:c r="D247" s="6"/>
      <x:c r="E247" s="6"/>
      <x:c r="F247" s="6"/>
      <x:c r="G247" s="6"/>
      <x:c r="H247" s="6"/>
      <x:c r="I247" s="6"/>
      <x:c r="J247" s="6"/>
      <x:c r="K247" s="6"/>
      <x:c r="L247" s="6"/>
      <x:c r="M247" s="6"/>
      <x:c r="N247" s="6"/>
      <x:c r="O247" s="6"/>
      <x:c r="P247" s="6"/>
      <x:c r="Q247" s="6"/>
    </x:row>
    <x:row r="248" ht="19" customHeight="1">
      <x:c r="A248" s="6"/>
      <x:c r="B248" s="6"/>
      <x:c r="C248" s="6"/>
      <x:c r="D248" s="6"/>
      <x:c r="E248" s="6"/>
      <x:c r="F248" s="6"/>
      <x:c r="G248" s="6"/>
      <x:c r="H248" s="6"/>
      <x:c r="I248" s="6"/>
      <x:c r="J248" s="6"/>
      <x:c r="K248" s="6"/>
      <x:c r="L248" s="6"/>
      <x:c r="M248" s="6"/>
      <x:c r="N248" s="6"/>
      <x:c r="O248" s="6"/>
      <x:c r="P248" s="6"/>
      <x:c r="Q248" s="6"/>
    </x:row>
    <x:row r="249" ht="19" customHeight="1">
      <x:c r="A249" s="6"/>
      <x:c r="B249" s="6"/>
      <x:c r="C249" s="6"/>
      <x:c r="D249" s="6"/>
      <x:c r="E249" s="6"/>
      <x:c r="F249" s="6"/>
      <x:c r="G249" s="6"/>
      <x:c r="H249" s="6"/>
      <x:c r="I249" s="6"/>
      <x:c r="J249" s="6"/>
      <x:c r="K249" s="6"/>
      <x:c r="L249" s="6"/>
      <x:c r="M249" s="6"/>
      <x:c r="N249" s="6"/>
      <x:c r="O249" s="6"/>
      <x:c r="P249" s="6"/>
      <x:c r="Q249" s="6"/>
    </x:row>
    <x:row r="250" ht="19" customHeight="1">
      <x:c r="A250" s="6"/>
      <x:c r="B250" s="6"/>
      <x:c r="C250" s="6"/>
      <x:c r="D250" s="6"/>
      <x:c r="E250" s="6"/>
      <x:c r="F250" s="6"/>
      <x:c r="G250" s="6"/>
      <x:c r="H250" s="6"/>
      <x:c r="I250" s="6"/>
      <x:c r="J250" s="6"/>
      <x:c r="K250" s="6"/>
      <x:c r="L250" s="6"/>
      <x:c r="M250" s="6"/>
      <x:c r="N250" s="6"/>
      <x:c r="O250" s="6"/>
      <x:c r="P250" s="6"/>
      <x:c r="Q250" s="6"/>
    </x:row>
    <x:row r="251" ht="19" customHeight="1">
      <x:c r="A251" s="6"/>
      <x:c r="B251" s="6"/>
      <x:c r="C251" s="6"/>
      <x:c r="D251" s="6"/>
      <x:c r="E251" s="6"/>
      <x:c r="F251" s="6"/>
      <x:c r="G251" s="6"/>
      <x:c r="H251" s="6"/>
      <x:c r="I251" s="6"/>
      <x:c r="J251" s="6"/>
      <x:c r="K251" s="6"/>
      <x:c r="L251" s="6"/>
      <x:c r="M251" s="6"/>
      <x:c r="N251" s="6"/>
      <x:c r="O251" s="6"/>
      <x:c r="P251" s="6"/>
      <x:c r="Q251" s="6"/>
    </x:row>
    <x:row r="252" ht="19" customHeight="1">
      <x:c r="A252" s="6"/>
      <x:c r="B252" s="6"/>
      <x:c r="C252" s="6"/>
      <x:c r="D252" s="6"/>
      <x:c r="E252" s="6"/>
      <x:c r="F252" s="6"/>
      <x:c r="G252" s="6"/>
      <x:c r="H252" s="6"/>
      <x:c r="I252" s="6"/>
      <x:c r="J252" s="6"/>
      <x:c r="K252" s="6"/>
      <x:c r="L252" s="6"/>
      <x:c r="M252" s="6"/>
      <x:c r="N252" s="6"/>
      <x:c r="O252" s="6"/>
      <x:c r="P252" s="6"/>
      <x:c r="Q252" s="6"/>
    </x:row>
    <x:row r="253" ht="19" customHeight="1">
      <x:c r="A253" s="6"/>
      <x:c r="B253" s="6"/>
      <x:c r="C253" s="6"/>
      <x:c r="D253" s="6"/>
      <x:c r="E253" s="6"/>
      <x:c r="F253" s="6"/>
      <x:c r="G253" s="6"/>
      <x:c r="H253" s="6"/>
      <x:c r="I253" s="6"/>
      <x:c r="J253" s="6"/>
      <x:c r="K253" s="6"/>
      <x:c r="L253" s="6"/>
      <x:c r="M253" s="6"/>
      <x:c r="N253" s="6"/>
      <x:c r="O253" s="6"/>
      <x:c r="P253" s="6"/>
      <x:c r="Q253" s="6"/>
    </x:row>
    <x:row r="254" ht="19" customHeight="1">
      <x:c r="A254" s="6"/>
      <x:c r="B254" s="6"/>
      <x:c r="C254" s="6"/>
      <x:c r="D254" s="6"/>
      <x:c r="E254" s="6"/>
      <x:c r="F254" s="6"/>
      <x:c r="G254" s="6"/>
      <x:c r="H254" s="6"/>
      <x:c r="I254" s="6"/>
      <x:c r="J254" s="6"/>
      <x:c r="K254" s="6"/>
      <x:c r="L254" s="6"/>
      <x:c r="M254" s="6"/>
      <x:c r="N254" s="6"/>
      <x:c r="O254" s="6"/>
      <x:c r="P254" s="6"/>
      <x:c r="Q254" s="6"/>
    </x:row>
    <x:row r="255" ht="19" customHeight="1">
      <x:c r="A255" s="6"/>
      <x:c r="B255" s="6"/>
      <x:c r="C255" s="6"/>
      <x:c r="D255" s="6"/>
      <x:c r="E255" s="6"/>
      <x:c r="F255" s="6"/>
      <x:c r="G255" s="6"/>
      <x:c r="H255" s="6"/>
      <x:c r="I255" s="6"/>
      <x:c r="J255" s="6"/>
      <x:c r="K255" s="6"/>
      <x:c r="L255" s="6"/>
      <x:c r="M255" s="6"/>
      <x:c r="N255" s="6"/>
      <x:c r="O255" s="6"/>
      <x:c r="P255" s="6"/>
      <x:c r="Q255" s="6"/>
    </x:row>
    <x:row r="256" ht="19" customHeight="1">
      <x:c r="A256" s="6"/>
      <x:c r="B256" s="6"/>
      <x:c r="C256" s="6"/>
      <x:c r="D256" s="6"/>
      <x:c r="E256" s="6"/>
      <x:c r="F256" s="6"/>
      <x:c r="G256" s="6"/>
      <x:c r="H256" s="6"/>
      <x:c r="I256" s="6"/>
      <x:c r="J256" s="6"/>
      <x:c r="K256" s="6"/>
      <x:c r="L256" s="6"/>
      <x:c r="M256" s="6"/>
      <x:c r="N256" s="6"/>
      <x:c r="O256" s="6"/>
      <x:c r="P256" s="6"/>
      <x:c r="Q256" s="6"/>
    </x:row>
    <x:row r="257" ht="19" customHeight="1">
      <x:c r="A257" s="6"/>
      <x:c r="B257" s="6"/>
      <x:c r="C257" s="6"/>
      <x:c r="D257" s="6"/>
      <x:c r="E257" s="6"/>
      <x:c r="F257" s="6"/>
      <x:c r="G257" s="6"/>
      <x:c r="H257" s="6"/>
      <x:c r="I257" s="6"/>
      <x:c r="J257" s="6"/>
      <x:c r="K257" s="6"/>
      <x:c r="L257" s="6"/>
      <x:c r="M257" s="6"/>
      <x:c r="N257" s="6"/>
      <x:c r="O257" s="6"/>
      <x:c r="P257" s="6"/>
      <x:c r="Q257" s="6"/>
    </x:row>
    <x:row r="258" ht="19" customHeight="1">
      <x:c r="A258" s="6"/>
      <x:c r="B258" s="6"/>
      <x:c r="C258" s="6"/>
      <x:c r="D258" s="6"/>
      <x:c r="E258" s="6"/>
      <x:c r="F258" s="6"/>
      <x:c r="G258" s="6"/>
      <x:c r="H258" s="6"/>
      <x:c r="I258" s="6"/>
      <x:c r="J258" s="6"/>
      <x:c r="K258" s="6"/>
      <x:c r="L258" s="6"/>
      <x:c r="M258" s="6"/>
      <x:c r="N258" s="6"/>
      <x:c r="O258" s="6"/>
      <x:c r="P258" s="6"/>
      <x:c r="Q258" s="6"/>
    </x:row>
    <x:row r="259" ht="19" customHeight="1">
      <x:c r="A259" s="6"/>
      <x:c r="B259" s="6"/>
      <x:c r="C259" s="6"/>
      <x:c r="D259" s="6"/>
      <x:c r="E259" s="6"/>
      <x:c r="F259" s="6"/>
      <x:c r="G259" s="6"/>
      <x:c r="H259" s="6"/>
      <x:c r="I259" s="6"/>
      <x:c r="J259" s="6"/>
      <x:c r="K259" s="6"/>
      <x:c r="L259" s="6"/>
      <x:c r="M259" s="6"/>
      <x:c r="N259" s="6"/>
      <x:c r="O259" s="6"/>
      <x:c r="P259" s="6"/>
      <x:c r="Q259" s="6"/>
    </x:row>
    <x:row r="260" ht="19" customHeight="1">
      <x:c r="A260" s="6"/>
      <x:c r="B260" s="6"/>
      <x:c r="C260" s="6"/>
      <x:c r="D260" s="6"/>
      <x:c r="E260" s="6"/>
      <x:c r="F260" s="6"/>
      <x:c r="G260" s="6"/>
      <x:c r="H260" s="6"/>
      <x:c r="I260" s="6"/>
      <x:c r="J260" s="6"/>
      <x:c r="K260" s="6"/>
      <x:c r="L260" s="6"/>
      <x:c r="M260" s="6"/>
      <x:c r="N260" s="6"/>
      <x:c r="O260" s="6"/>
      <x:c r="P260" s="6"/>
      <x:c r="Q260" s="6"/>
    </x:row>
  </x:sheetData>
  <x:mergeCells>
    <x:mergeCell ref="A1:I2"/>
    <x:mergeCell ref="A3:I3"/>
    <x:mergeCell ref="A5:I5"/>
    <x:mergeCell ref="A18:I18"/>
    <x:mergeCell ref="A31:I31"/>
    <x:mergeCell ref="A44:I44"/>
    <x:mergeCell ref="A57:I57"/>
    <x:mergeCell ref="A70:I70"/>
    <x:mergeCell ref="A83:I83"/>
    <x:mergeCell ref="A96:I96"/>
    <x:mergeCell ref="A109:I109"/>
    <x:mergeCell ref="A122:I122"/>
    <x:mergeCell ref="A135:I135"/>
    <x:mergeCell ref="A148:I148"/>
    <x:mergeCell ref="A161:I161"/>
    <x:mergeCell ref="A174:I174"/>
    <x:mergeCell ref="A187:I187"/>
    <x:mergeCell ref="A200:I200"/>
    <x:mergeCell ref="A213:I213"/>
    <x:mergeCell ref="A226:I226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22" hidden="0" customWidth="1"/>
    <x:col min="3" max="3" width="22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22" hidden="0" customWidth="1"/>
    <x:col min="9" max="9" width="14" hidden="0" customWidth="1"/>
  </x:cols>
  <x:sheetData>
    <x:row r="1" ht="24" customHeight="1">
      <x:c r="A1" s="10" t="str">
        <x:v>Коллективный МАИ — синтез приоритетов</x:v>
      </x:c>
      <x:c r="B1" s="10"/>
      <x:c r="C1" s="10"/>
      <x:c r="D1" s="10"/>
      <x:c r="E1" s="10"/>
      <x:c r="F1" s="10"/>
      <x:c r="G1" s="10"/>
      <x:c r="H1" s="10"/>
      <x:c r="I1" s="10"/>
      <x:c r="J1" s="6"/>
      <x:c r="K1" s="6"/>
      <x:c r="L1" s="6"/>
      <x:c r="M1" s="6"/>
      <x:c r="N1" s="6"/>
      <x:c r="O1" s="6"/>
      <x:c r="P1" s="6"/>
      <x:c r="Q1" s="6"/>
    </x:row>
    <x:row r="2" ht="24" customHeight="1">
      <x:c r="A2" s="10"/>
      <x:c r="B2" s="10"/>
      <x:c r="C2" s="10"/>
      <x:c r="D2" s="10"/>
      <x:c r="E2" s="10"/>
      <x:c r="F2" s="10"/>
      <x:c r="G2" s="10"/>
      <x:c r="H2" s="10"/>
      <x:c r="I2" s="10"/>
      <x:c r="J2" s="6"/>
      <x:c r="K2" s="6"/>
      <x:c r="L2" s="6"/>
      <x:c r="M2" s="6"/>
      <x:c r="N2" s="6"/>
      <x:c r="O2" s="6"/>
      <x:c r="P2" s="6"/>
      <x:c r="Q2" s="6"/>
    </x:row>
    <x:row r="3" ht="26" customHeight="1">
      <x:c r="A3" s="25" t="str">
        <x:v>1. Веса критериев (коллективная матрица)</x:v>
      </x:c>
      <x:c r="B3" s="25"/>
      <x:c r="C3" s="25"/>
      <x:c r="D3" s="25"/>
      <x:c r="E3" s="25"/>
      <x:c r="F3" s="25"/>
      <x:c r="G3" s="25"/>
      <x:c r="H3" s="25"/>
      <x:c r="I3" s="25"/>
      <x:c r="J3" s="6"/>
      <x:c r="K3" s="6"/>
      <x:c r="L3" s="6"/>
      <x:c r="M3" s="6"/>
      <x:c r="N3" s="6"/>
      <x:c r="O3" s="6"/>
      <x:c r="P3" s="6"/>
      <x:c r="Q3" s="6"/>
    </x:row>
    <x:row r="4" ht="30" customHeight="1">
      <x:c r="A4" s="17" t="str">
        <x:v>Критерий</x:v>
      </x:c>
      <x:c r="B4" s="17" t="str">
        <x:v>Вес (МАИ)</x:v>
      </x:c>
      <x:c r="C4" s="17" t="str">
        <x:v>Описание</x:v>
      </x:c>
      <x:c r="D4" s="6"/>
      <x:c r="E4" s="6"/>
      <x:c r="F4" s="6"/>
      <x:c r="G4" s="6"/>
      <x:c r="H4" s="6"/>
      <x:c r="I4" s="6"/>
      <x:c r="J4" s="6"/>
      <x:c r="K4" s="6"/>
      <x:c r="L4" s="6"/>
      <x:c r="M4" s="6"/>
      <x:c r="N4" s="6"/>
      <x:c r="O4" s="6"/>
      <x:c r="P4" s="6"/>
      <x:c r="Q4" s="6"/>
    </x:row>
    <x:row r="5" ht="19" customHeight="1">
      <x:c r="A5" s="6" t="str">
        <x:v>K1</x:v>
      </x:c>
      <x:c r="B5" s="34" t="n">
        <x:f>'МАИ матрицы'!H7</x:f>
        <x:v>0.3177685595323296</x:v>
      </x:c>
      <x:c r="C5" s="6" t="str">
        <x:v>Ценность для студентов</x:v>
      </x:c>
      <x:c r="D5" s="6"/>
      <x:c r="E5" s="6"/>
      <x:c r="F5" s="6"/>
      <x:c r="G5" s="6"/>
      <x:c r="H5" s="6"/>
      <x:c r="I5" s="6"/>
      <x:c r="J5" s="6"/>
      <x:c r="K5" s="6"/>
      <x:c r="L5" s="6"/>
      <x:c r="M5" s="6"/>
      <x:c r="N5" s="6"/>
      <x:c r="O5" s="6"/>
      <x:c r="P5" s="6"/>
      <x:c r="Q5" s="6"/>
    </x:row>
    <x:row r="6" ht="19" customHeight="1">
      <x:c r="A6" s="6" t="str">
        <x:v>K2</x:v>
      </x:c>
      <x:c r="B6" s="34" t="n">
        <x:f>'МАИ матрицы'!H8</x:f>
        <x:v>0.3177685595323296</x:v>
      </x:c>
      <x:c r="C6" s="6" t="str">
        <x:v>Реализуемость MVP</x:v>
      </x:c>
      <x:c r="D6" s="6"/>
      <x:c r="E6" s="6"/>
      <x:c r="F6" s="6"/>
      <x:c r="G6" s="6"/>
      <x:c r="H6" s="6"/>
      <x:c r="I6" s="6"/>
      <x:c r="J6" s="6"/>
      <x:c r="K6" s="6"/>
      <x:c r="L6" s="6"/>
      <x:c r="M6" s="6"/>
      <x:c r="N6" s="6"/>
      <x:c r="O6" s="6"/>
      <x:c r="P6" s="6"/>
      <x:c r="Q6" s="6"/>
    </x:row>
    <x:row r="7" ht="19" customHeight="1">
      <x:c r="A7" s="6" t="str">
        <x:v>K3</x:v>
      </x:c>
      <x:c r="B7" s="34" t="n">
        <x:f>'МАИ матрицы'!H9</x:f>
        <x:v>0.18108261629885167</x:v>
      </x:c>
      <x:c r="C7" s="6" t="str">
        <x:v>Проверяемость и демо</x:v>
      </x:c>
      <x:c r="D7" s="6"/>
      <x:c r="E7" s="6"/>
      <x:c r="F7" s="6"/>
      <x:c r="G7" s="6"/>
      <x:c r="H7" s="6"/>
      <x:c r="I7" s="6"/>
      <x:c r="J7" s="6"/>
      <x:c r="K7" s="6"/>
      <x:c r="L7" s="6"/>
      <x:c r="M7" s="6"/>
      <x:c r="N7" s="6"/>
      <x:c r="O7" s="6"/>
      <x:c r="P7" s="6"/>
      <x:c r="Q7" s="6"/>
    </x:row>
    <x:row r="8" ht="19" customHeight="1">
      <x:c r="A8" s="6" t="str">
        <x:v>K4</x:v>
      </x:c>
      <x:c r="B8" s="34" t="n">
        <x:f>'МАИ матрицы'!H10</x:f>
        <x:v>0.10844765737326528</x:v>
      </x:c>
      <x:c r="C8" s="6" t="str">
        <x:v>Доступность тестовых данных</x:v>
      </x:c>
      <x:c r="D8" s="6"/>
      <x:c r="E8" s="6"/>
      <x:c r="F8" s="6"/>
      <x:c r="G8" s="6"/>
      <x:c r="H8" s="6"/>
      <x:c r="I8" s="6"/>
      <x:c r="J8" s="6"/>
      <x:c r="K8" s="6"/>
      <x:c r="L8" s="6"/>
      <x:c r="M8" s="6"/>
      <x:c r="N8" s="6"/>
      <x:c r="O8" s="6"/>
      <x:c r="P8" s="6"/>
      <x:c r="Q8" s="6"/>
    </x:row>
    <x:row r="9" ht="19" customHeight="1">
      <x:c r="A9" s="6" t="str">
        <x:v>K5</x:v>
      </x:c>
      <x:c r="B9" s="34" t="n">
        <x:f>'МАИ матрицы'!H11</x:f>
        <x:v>0.07493260726322383</x:v>
      </x:c>
      <x:c r="C9" s="6" t="str">
        <x:v>Потенциал развития</x:v>
      </x:c>
      <x:c r="D9" s="6"/>
      <x:c r="E9" s="6"/>
      <x:c r="F9" s="6"/>
      <x:c r="G9" s="6"/>
      <x:c r="H9" s="6"/>
      <x:c r="I9" s="6"/>
      <x:c r="J9" s="6"/>
      <x:c r="K9" s="6"/>
      <x:c r="L9" s="6"/>
      <x:c r="M9" s="6"/>
      <x:c r="N9" s="6"/>
      <x:c r="O9" s="6"/>
      <x:c r="P9" s="6"/>
      <x:c r="Q9" s="6"/>
    </x:row>
    <x:row r="10" ht="19" customHeight="1">
      <x:c r="A10" s="6" t="str">
        <x:v>Проверка Σ</x:v>
      </x:c>
      <x:c r="B10" s="34" t="n">
        <x:f>SUM(B5:B9)</x:f>
        <x:v>0.9999999999999999</x:v>
      </x:c>
      <x:c r="C10" s="6"/>
      <x:c r="D10" s="6"/>
      <x:c r="E10" s="6"/>
      <x:c r="F10" s="6"/>
      <x:c r="G10" s="6"/>
      <x:c r="H10" s="6"/>
      <x:c r="I10" s="6"/>
      <x:c r="J10" s="6"/>
      <x:c r="K10" s="6"/>
      <x:c r="L10" s="6"/>
      <x:c r="M10" s="6"/>
      <x:c r="N10" s="6"/>
      <x:c r="O10" s="6"/>
      <x:c r="P10" s="6"/>
      <x:c r="Q10" s="6"/>
    </x:row>
    <x:row r="11" ht="26" customHeight="1">
      <x:c r="A11" s="25" t="str">
        <x:v>2. Локальные приоритеты и общий итог</x:v>
      </x:c>
      <x:c r="B11" s="25"/>
      <x:c r="C11" s="25"/>
      <x:c r="D11" s="25"/>
      <x:c r="E11" s="25"/>
      <x:c r="F11" s="25"/>
      <x:c r="G11" s="25"/>
      <x:c r="H11" s="25"/>
      <x:c r="I11" s="25"/>
      <x:c r="J11" s="6"/>
      <x:c r="K11" s="6"/>
      <x:c r="L11" s="6"/>
      <x:c r="M11" s="6"/>
      <x:c r="N11" s="6"/>
      <x:c r="O11" s="6"/>
      <x:c r="P11" s="6"/>
      <x:c r="Q11" s="6"/>
    </x:row>
    <x:row r="12" ht="30" customHeight="1">
      <x:c r="A12" s="17" t="str">
        <x:v>Код</x:v>
      </x:c>
      <x:c r="B12" s="17" t="str">
        <x:v>Концепция</x:v>
      </x:c>
      <x:c r="C12" s="17" t="str">
        <x:v>K1</x:v>
      </x:c>
      <x:c r="D12" s="17" t="str">
        <x:v>K2</x:v>
      </x:c>
      <x:c r="E12" s="17" t="str">
        <x:v>K3</x:v>
      </x:c>
      <x:c r="F12" s="17" t="str">
        <x:v>K4</x:v>
      </x:c>
      <x:c r="G12" s="17" t="str">
        <x:v>K5</x:v>
      </x:c>
      <x:c r="H12" s="17" t="str">
        <x:v>Итоговый вес</x:v>
      </x:c>
      <x:c r="I12" s="17" t="str">
        <x:v>Место</x:v>
      </x:c>
      <x:c r="J12" s="6"/>
      <x:c r="K12" s="6"/>
      <x:c r="L12" s="6"/>
      <x:c r="M12" s="6"/>
      <x:c r="N12" s="6"/>
      <x:c r="O12" s="6"/>
      <x:c r="P12" s="6"/>
      <x:c r="Q12" s="6"/>
    </x:row>
    <x:row r="13" ht="19" customHeight="1">
      <x:c r="A13" s="6" t="str">
        <x:v>A1</x:v>
      </x:c>
      <x:c r="B13" s="6" t="str">
        <x:v>StudyFlow</x:v>
      </x:c>
      <x:c r="C13" s="34" t="n">
        <x:f>'МАИ матрицы'!G20</x:f>
        <x:v>0.1900126314427855</x:v>
      </x:c>
      <x:c r="D13" s="34" t="n">
        <x:f>'МАИ матрицы'!G33</x:f>
        <x:v>0.3561812356238691</x:v>
      </x:c>
      <x:c r="E13" s="34" t="n">
        <x:f>'МАИ матрицы'!G46</x:f>
        <x:v>0.35500544039742155</x:v>
      </x:c>
      <x:c r="F13" s="34" t="n">
        <x:f>'МАИ матрицы'!G59</x:f>
        <x:v>0.3554629561845694</x:v>
      </x:c>
      <x:c r="G13" s="34" t="n">
        <x:f>'МАИ матрицы'!G72</x:f>
        <x:v>0.08502117589595755</x:v>
      </x:c>
      <x:c r="H13" s="34" t="n">
        <x:f>C13*$B$5+D13*$B$6+E13*$B$7+F13*$B$8+G13*$B$9</x:f>
        <x:v>0.2827685355743161</x:v>
      </x:c>
      <x:c r="I13" s="6" t="n">
        <x:f>RANK(H13,$H$13:$H$16,0)</x:f>
        <x:v>2</x:v>
      </x:c>
      <x:c r="J13" s="6"/>
      <x:c r="K13" s="6"/>
      <x:c r="L13" s="6"/>
      <x:c r="M13" s="6"/>
      <x:c r="N13" s="6"/>
      <x:c r="O13" s="6"/>
      <x:c r="P13" s="6"/>
      <x:c r="Q13" s="6"/>
    </x:row>
    <x:row r="14" ht="19" customHeight="1">
      <x:c r="A14" s="6" t="str">
        <x:v>A2</x:v>
      </x:c>
      <x:c r="B14" s="6" t="str">
        <x:v>CampusEvents</x:v>
      </x:c>
      <x:c r="C14" s="34" t="n">
        <x:f>'МАИ матрицы'!G21</x:f>
        <x:v>0.4307713827216934</x:v>
      </x:c>
      <x:c r="D14" s="34" t="n">
        <x:f>'МАИ матрицы'!G34</x:f>
        <x:v>0.1886804370233908</x:v>
      </x:c>
      <x:c r="E14" s="34" t="n">
        <x:f>'МАИ матрицы'!G47</x:f>
        <x:v>0.3761151623978366</x:v>
      </x:c>
      <x:c r="F14" s="34" t="n">
        <x:f>'МАИ матрицы'!G60</x:f>
        <x:v>0.3554629561845694</x:v>
      </x:c>
      <x:c r="G14" s="34" t="n">
        <x:f>'МАИ матрицы'!G73</x:f>
        <x:v>0.3706905170869946</x:v>
      </x:c>
      <x:c r="H14" s="34" t="n">
        <x:f>C14*$B$5+D14*$B$6+E14*$B$7+F14*$B$8+G14*$B$9</x:f>
        <x:v>0.3312761619110167</x:v>
      </x:c>
      <x:c r="I14" s="6" t="n">
        <x:f>RANK(H14,$H$13:$H$16,0)</x:f>
        <x:v>1</x:v>
      </x:c>
      <x:c r="J14" s="6"/>
      <x:c r="K14" s="6"/>
      <x:c r="L14" s="6"/>
      <x:c r="M14" s="6"/>
      <x:c r="N14" s="6"/>
      <x:c r="O14" s="6"/>
      <x:c r="P14" s="6"/>
      <x:c r="Q14" s="6"/>
    </x:row>
    <x:row r="15" ht="19" customHeight="1">
      <x:c r="A15" s="6" t="str">
        <x:v>A3</x:v>
      </x:c>
      <x:c r="B15" s="6" t="str">
        <x:v>BookSwap</x:v>
      </x:c>
      <x:c r="C15" s="34" t="n">
        <x:f>'МАИ матрицы'!G22</x:f>
        <x:v>0.12557955258996872</x:v>
      </x:c>
      <x:c r="D15" s="34" t="n">
        <x:f>'МАИ матрицы'!G35</x:f>
        <x:v>0.3648233253203599</x:v>
      </x:c>
      <x:c r="E15" s="34" t="n">
        <x:f>'МАИ матрицы'!G48</x:f>
        <x:v>0.1757690084253492</x:v>
      </x:c>
      <x:c r="F15" s="34" t="n">
        <x:f>'МАИ матрицы'!G61</x:f>
        <x:v>0.18646077091081056</x:v>
      </x:c>
      <x:c r="G15" s="34" t="n">
        <x:f>'МАИ матрицы'!G74</x:f>
        <x:v>0.17918729313155515</x:v>
      </x:c>
      <x:c r="H15" s="34" t="n">
        <x:f>C15*$B$5+D15*$B$6+E15*$B$7+F15*$B$8+G15*$B$9</x:f>
        <x:v>0.22131153287406863</x:v>
      </x:c>
      <x:c r="I15" s="6" t="n">
        <x:f>RANK(H15,$H$13:$H$16,0)</x:f>
        <x:v>3</x:v>
      </x:c>
      <x:c r="J15" s="6"/>
      <x:c r="K15" s="6"/>
      <x:c r="L15" s="6"/>
      <x:c r="M15" s="6"/>
      <x:c r="N15" s="6"/>
      <x:c r="O15" s="6"/>
      <x:c r="P15" s="6"/>
      <x:c r="Q15" s="6"/>
    </x:row>
    <x:row r="16" ht="19" customHeight="1">
      <x:c r="A16" s="6" t="str">
        <x:v>A4</x:v>
      </x:c>
      <x:c r="B16" s="6" t="str">
        <x:v>SkillBridge</x:v>
      </x:c>
      <x:c r="C16" s="34" t="n">
        <x:f>'МАИ матрицы'!G23</x:f>
        <x:v>0.2536364332455523</x:v>
      </x:c>
      <x:c r="D16" s="34" t="n">
        <x:f>'МАИ матрицы'!G36</x:f>
        <x:v>0.09031500203238013</x:v>
      </x:c>
      <x:c r="E16" s="34" t="n">
        <x:f>'МАИ матрицы'!G49</x:f>
        <x:v>0.09311038877939277</x:v>
      </x:c>
      <x:c r="F16" s="34" t="n">
        <x:f>'МАИ матрицы'!G62</x:f>
        <x:v>0.10261331672005067</x:v>
      </x:c>
      <x:c r="G16" s="34" t="n">
        <x:f>'МАИ матрицы'!G75</x:f>
        <x:v>0.36510101388549265</x:v>
      </x:c>
      <x:c r="H16" s="34" t="n">
        <x:f>C16*$B$5+D16*$B$6+E16*$B$7+F16*$B$8+G16*$B$9</x:f>
        <x:v>0.16464376964059843</x:v>
      </x:c>
      <x:c r="I16" s="6" t="n">
        <x:f>RANK(H16,$H$13:$H$16,0)</x:f>
        <x:v>4</x:v>
      </x:c>
      <x:c r="J16" s="6"/>
      <x:c r="K16" s="6"/>
      <x:c r="L16" s="6"/>
      <x:c r="M16" s="6"/>
      <x:c r="N16" s="6"/>
      <x:c r="O16" s="6"/>
      <x:c r="P16" s="6"/>
      <x:c r="Q16" s="6"/>
    </x:row>
    <x:row r="17" ht="19" customHeight="1">
      <x:c r="A17" s="6"/>
      <x:c r="B17" s="6"/>
      <x:c r="C17" s="6"/>
      <x:c r="D17" s="6"/>
      <x:c r="E17" s="6"/>
      <x:c r="F17" s="6"/>
      <x:c r="G17" s="6"/>
      <x:c r="H17" s="6"/>
      <x:c r="I17" s="6"/>
      <x:c r="J17" s="6"/>
      <x:c r="K17" s="6"/>
      <x:c r="L17" s="6"/>
      <x:c r="M17" s="6"/>
      <x:c r="N17" s="6"/>
      <x:c r="O17" s="6"/>
      <x:c r="P17" s="6"/>
      <x:c r="Q17" s="6"/>
    </x:row>
    <x:row r="18" ht="19" customHeight="1">
      <x:c r="A18" s="6"/>
      <x:c r="B18" s="6" t="str">
        <x:v>Проверка суммы</x:v>
      </x:c>
      <x:c r="C18" s="6"/>
      <x:c r="D18" s="6"/>
      <x:c r="E18" s="6"/>
      <x:c r="F18" s="6"/>
      <x:c r="G18" s="6"/>
      <x:c r="H18" s="6" t="n">
        <x:f>SUM(H13:H16)</x:f>
        <x:v>1</x:v>
      </x:c>
      <x:c r="I18" s="6"/>
      <x:c r="J18" s="6"/>
      <x:c r="K18" s="6"/>
      <x:c r="L18" s="6"/>
      <x:c r="M18" s="6"/>
      <x:c r="N18" s="6"/>
      <x:c r="O18" s="6"/>
      <x:c r="P18" s="6"/>
      <x:c r="Q18" s="6"/>
    </x:row>
    <x:row r="19" ht="19" customHeight="1">
      <x:c r="A19" s="6"/>
      <x:c r="B19" s="6"/>
      <x:c r="C19" s="6"/>
      <x:c r="D19" s="6"/>
      <x:c r="E19" s="6"/>
      <x:c r="F19" s="6"/>
      <x:c r="G19" s="6"/>
      <x:c r="H19" s="6"/>
      <x:c r="I19" s="6"/>
      <x:c r="J19" s="6"/>
      <x:c r="K19" s="6"/>
      <x:c r="L19" s="6"/>
      <x:c r="M19" s="6"/>
      <x:c r="N19" s="6"/>
      <x:c r="O19" s="6"/>
      <x:c r="P19" s="6"/>
      <x:c r="Q19" s="6"/>
    </x:row>
    <x:row r="20" ht="26" customHeight="1">
      <x:c r="A20" s="25" t="str">
        <x:v>3. Индекс согласованности (CR): групповые матрицы</x:v>
      </x:c>
      <x:c r="B20" s="25"/>
      <x:c r="C20" s="25"/>
      <x:c r="D20" s="25"/>
      <x:c r="E20" s="25"/>
      <x:c r="F20" s="25"/>
      <x:c r="G20" s="25"/>
      <x:c r="H20" s="25"/>
      <x:c r="I20" s="25"/>
      <x:c r="J20" s="6"/>
      <x:c r="K20" s="6"/>
      <x:c r="L20" s="6"/>
      <x:c r="M20" s="6"/>
      <x:c r="N20" s="6"/>
      <x:c r="O20" s="6"/>
      <x:c r="P20" s="6"/>
      <x:c r="Q20" s="6"/>
    </x:row>
    <x:row r="21" ht="30" customHeight="1">
      <x:c r="A21" s="17" t="str">
        <x:v>Матрица</x:v>
      </x:c>
      <x:c r="B21" s="17" t="str">
        <x:v>CR</x:v>
      </x:c>
      <x:c r="C21" s="17" t="str">
        <x:v>Контроль</x:v>
      </x:c>
      <x:c r="D21" s="6"/>
      <x:c r="E21" s="6"/>
      <x:c r="F21" s="6"/>
      <x:c r="G21" s="6"/>
      <x:c r="H21" s="6"/>
      <x:c r="I21" s="6"/>
      <x:c r="J21" s="6"/>
      <x:c r="K21" s="6"/>
      <x:c r="L21" s="6"/>
      <x:c r="M21" s="6"/>
      <x:c r="N21" s="6"/>
      <x:c r="O21" s="6"/>
      <x:c r="P21" s="6"/>
      <x:c r="Q21" s="6"/>
    </x:row>
    <x:row r="22" ht="19" customHeight="1">
      <x:c r="A22" s="6" t="str">
        <x:v>Критерии</x:v>
      </x:c>
      <x:c r="B22" s="34" t="n">
        <x:f>'МАИ матрицы'!F13</x:f>
        <x:v>0.012530541627172756</x:v>
      </x:c>
      <x:c r="C22" s="6" t="str">
        <x:f>IF(B22&lt;=0.1,"OK","Пересмотреть")</x:f>
        <x:v>OK</x:v>
      </x:c>
      <x:c r="D22" s="6"/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  <x:c r="Q22" s="6"/>
    </x:row>
    <x:row r="23" ht="19" customHeight="1">
      <x:c r="A23" s="6" t="str">
        <x:v>K1</x:v>
      </x:c>
      <x:c r="B23" s="34" t="n">
        <x:f>'МАИ матрицы'!F25</x:f>
        <x:v>0.007080238965537201</x:v>
      </x:c>
      <x:c r="C23" s="6" t="str">
        <x:f>IF(B23&lt;=0.1,"OK","Пересмотреть")</x:f>
        <x:v>OK</x:v>
      </x:c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  <x:c r="Q23" s="6"/>
    </x:row>
    <x:row r="24" ht="19" customHeight="1">
      <x:c r="A24" s="6" t="str">
        <x:v>K2</x:v>
      </x:c>
      <x:c r="B24" s="34" t="n">
        <x:f>'МАИ матрицы'!F38</x:f>
        <x:v>0.0018724254383918873</x:v>
      </x:c>
      <x:c r="C24" s="6" t="str">
        <x:f>IF(B24&lt;=0.1,"OK","Пересмотреть")</x:f>
        <x:v>OK</x:v>
      </x:c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  <x:c r="Q24" s="6"/>
    </x:row>
    <x:row r="25" ht="19" customHeight="1">
      <x:c r="A25" s="6" t="str">
        <x:v>K3</x:v>
      </x:c>
      <x:c r="B25" s="34" t="n">
        <x:f>'МАИ матрицы'!F51</x:f>
        <x:v>0.0012717879210144144</x:v>
      </x:c>
      <x:c r="C25" s="6" t="str">
        <x:f>IF(B25&lt;=0.1,"OK","Пересмотреть")</x:f>
        <x:v>OK</x:v>
      </x:c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  <x:c r="Q25" s="6"/>
    </x:row>
    <x:row r="26" ht="19" customHeight="1">
      <x:c r="A26" s="6" t="str">
        <x:v>K4</x:v>
      </x:c>
      <x:c r="B26" s="34" t="n">
        <x:f>'МАИ матрицы'!F64</x:f>
        <x:v>0.001703716517464597</x:v>
      </x:c>
      <x:c r="C26" s="6" t="str">
        <x:f>IF(B26&lt;=0.1,"OK","Пересмотреть")</x:f>
        <x:v>OK</x:v>
      </x:c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  <x:c r="Q26" s="6"/>
    </x:row>
    <x:row r="27" ht="19" customHeight="1">
      <x:c r="A27" s="6" t="str">
        <x:v>K5</x:v>
      </x:c>
      <x:c r="B27" s="34" t="n">
        <x:f>'МАИ матрицы'!F77</x:f>
        <x:v>0.0023293920641406685</x:v>
      </x:c>
      <x:c r="C27" s="6" t="str">
        <x:f>IF(B27&lt;=0.1,"OK","Пересмотреть")</x:f>
        <x:v>OK</x:v>
      </x:c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  <x:c r="Q27" s="6"/>
    </x:row>
    <x:row r="28" ht="19" customHeight="1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  <x:c r="Q28" s="6"/>
    </x:row>
    <x:row r="29" ht="26" customHeight="1">
      <x:c r="A29" s="25" t="str">
        <x:v>4. Проверка согласованности отдельных экспертов</x:v>
      </x:c>
      <x:c r="B29" s="25"/>
      <x:c r="C29" s="25"/>
      <x:c r="D29" s="25"/>
      <x:c r="E29" s="25"/>
      <x:c r="F29" s="25"/>
      <x:c r="G29" s="25"/>
      <x:c r="H29" s="25"/>
      <x:c r="I29" s="25"/>
      <x:c r="J29" s="6"/>
      <x:c r="K29" s="6"/>
      <x:c r="L29" s="6"/>
      <x:c r="M29" s="6"/>
      <x:c r="N29" s="6"/>
      <x:c r="O29" s="6"/>
      <x:c r="P29" s="6"/>
      <x:c r="Q29" s="6"/>
    </x:row>
    <x:row r="30" ht="30" customHeight="1">
      <x:c r="A30" s="17" t="str">
        <x:v>Эксперт</x:v>
      </x:c>
      <x:c r="B30" s="17" t="str">
        <x:v>Матрица</x:v>
      </x:c>
      <x:c r="C30" s="17" t="str">
        <x:v>CR</x:v>
      </x:c>
      <x:c r="D30" s="17" t="str">
        <x:v>Контроль</x:v>
      </x:c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  <x:c r="Q30" s="6"/>
    </x:row>
    <x:row r="31" ht="19" customHeight="1">
      <x:c r="A31" s="6" t="str">
        <x:v>Участник 1</x:v>
      </x:c>
      <x:c r="B31" s="6" t="str">
        <x:v>Критерии</x:v>
      </x:c>
      <x:c r="C31" s="34" t="n">
        <x:f>'МАИ проверки'!F13</x:f>
        <x:v>0.00810865194276319</x:v>
      </x:c>
      <x:c r="D31" s="6" t="str">
        <x:f>IF(C31&lt;=0.1,"OK","Пересмотреть")</x:f>
        <x:v>OK</x:v>
      </x:c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  <x:c r="Q31" s="6"/>
    </x:row>
    <x:row r="32" ht="19" customHeight="1">
      <x:c r="A32" s="6" t="str">
        <x:v>Участник 1</x:v>
      </x:c>
      <x:c r="B32" s="6" t="str">
        <x:v>K1</x:v>
      </x:c>
      <x:c r="C32" s="34" t="n">
        <x:f>'МАИ проверки'!F25</x:f>
        <x:v>0.003835657950578974</x:v>
      </x:c>
      <x:c r="D32" s="6" t="str">
        <x:f>IF(C32&lt;=0.1,"OK","Пересмотреть")</x:f>
        <x:v>OK</x:v>
      </x:c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  <x:c r="Q32" s="6"/>
    </x:row>
    <x:row r="33" ht="19" customHeight="1">
      <x:c r="A33" s="6" t="str">
        <x:v>Участник 1</x:v>
      </x:c>
      <x:c r="B33" s="6" t="str">
        <x:v>K2</x:v>
      </x:c>
      <x:c r="C33" s="34" t="n">
        <x:f>'МАИ проверки'!F38</x:f>
        <x:v>0</x:v>
      </x:c>
      <x:c r="D33" s="6" t="str">
        <x:f>IF(C33&lt;=0.1,"OK","Пересмотреть")</x:f>
        <x:v>OK</x:v>
      </x:c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  <x:c r="Q33" s="6"/>
    </x:row>
    <x:row r="34" ht="19" customHeight="1">
      <x:c r="A34" s="6" t="str">
        <x:v>Участник 1</x:v>
      </x:c>
      <x:c r="B34" s="6" t="str">
        <x:v>K3</x:v>
      </x:c>
      <x:c r="C34" s="34" t="n">
        <x:f>'МАИ проверки'!F51</x:f>
        <x:v>0</x:v>
      </x:c>
      <x:c r="D34" s="6" t="str">
        <x:f>IF(C34&lt;=0.1,"OK","Пересмотреть")</x:f>
        <x:v>OK</x:v>
      </x:c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  <x:c r="Q34" s="6"/>
    </x:row>
    <x:row r="35" ht="19" customHeight="1">
      <x:c r="A35" s="6" t="str">
        <x:v>Участник 1</x:v>
      </x:c>
      <x:c r="B35" s="6" t="str">
        <x:v>K4</x:v>
      </x:c>
      <x:c r="C35" s="34" t="n">
        <x:f>'МАИ проверки'!F64</x:f>
        <x:v>0.003835657950579303</x:v>
      </x:c>
      <x:c r="D35" s="6" t="str">
        <x:f>IF(C35&lt;=0.1,"OK","Пересмотреть")</x:f>
        <x:v>OK</x:v>
      </x:c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  <x:c r="Q35" s="6"/>
    </x:row>
    <x:row r="36" ht="19" customHeight="1">
      <x:c r="A36" s="6" t="str">
        <x:v>Участник 1</x:v>
      </x:c>
      <x:c r="B36" s="6" t="str">
        <x:v>K5</x:v>
      </x:c>
      <x:c r="C36" s="34" t="n">
        <x:f>'МАИ проверки'!F77</x:f>
        <x:v>0</x:v>
      </x:c>
      <x:c r="D36" s="6" t="str">
        <x:f>IF(C36&lt;=0.1,"OK","Пересмотреть")</x:f>
        <x:v>OK</x:v>
      </x:c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  <x:c r="Q36" s="6"/>
    </x:row>
    <x:row r="37" ht="19" customHeight="1">
      <x:c r="A37" s="6" t="str">
        <x:v>Участник 2</x:v>
      </x:c>
      <x:c r="B37" s="6" t="str">
        <x:v>Критерии</x:v>
      </x:c>
      <x:c r="C37" s="34" t="n">
        <x:f>'МАИ проверки'!F91</x:f>
        <x:v>0.013096703436529402</x:v>
      </x:c>
      <x:c r="D37" s="6" t="str">
        <x:f>IF(C37&lt;=0.1,"OK","Пересмотреть")</x:f>
        <x:v>OK</x:v>
      </x:c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  <x:c r="Q37" s="6"/>
    </x:row>
    <x:row r="38" ht="19" customHeight="1">
      <x:c r="A38" s="6" t="str">
        <x:v>Участник 2</x:v>
      </x:c>
      <x:c r="B38" s="6" t="str">
        <x:v>K1</x:v>
      </x:c>
      <x:c r="C38" s="34" t="n">
        <x:f>'МАИ проверки'!F103</x:f>
        <x:v>0.016922921943863346</x:v>
      </x:c>
      <x:c r="D38" s="6" t="str">
        <x:f>IF(C38&lt;=0.1,"OK","Пересмотреть")</x:f>
        <x:v>OK</x:v>
      </x:c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  <x:c r="Q38" s="6"/>
    </x:row>
    <x:row r="39" ht="19" customHeight="1">
      <x:c r="A39" s="6" t="str">
        <x:v>Участник 2</x:v>
      </x:c>
      <x:c r="B39" s="6" t="str">
        <x:v>K2</x:v>
      </x:c>
      <x:c r="C39" s="34" t="n">
        <x:f>'МАИ проверки'!F116</x:f>
        <x:v>0.007627513477776028</x:v>
      </x:c>
      <x:c r="D39" s="6" t="str">
        <x:f>IF(C39&lt;=0.1,"OK","Пересмотреть")</x:f>
        <x:v>OK</x:v>
      </x:c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  <x:c r="Q39" s="6"/>
    </x:row>
    <x:row r="40" ht="19" customHeight="1">
      <x:c r="A40" s="6" t="str">
        <x:v>Участник 2</x:v>
      </x:c>
      <x:c r="B40" s="6" t="str">
        <x:v>K3</x:v>
      </x:c>
      <x:c r="C40" s="34" t="n">
        <x:f>'МАИ проверки'!F129</x:f>
        <x:v>0.003835657950579303</x:v>
      </x:c>
      <x:c r="D40" s="6" t="str">
        <x:f>IF(C40&lt;=0.1,"OK","Пересмотреть")</x:f>
        <x:v>OK</x:v>
      </x:c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  <x:c r="Q40" s="6"/>
    </x:row>
    <x:row r="41" ht="19" customHeight="1">
      <x:c r="A41" s="6" t="str">
        <x:v>Участник 2</x:v>
      </x:c>
      <x:c r="B41" s="6" t="str">
        <x:v>K4</x:v>
      </x:c>
      <x:c r="C41" s="34" t="n">
        <x:f>'МАИ проверки'!F142</x:f>
        <x:v>0.003835657950579303</x:v>
      </x:c>
      <x:c r="D41" s="6" t="str">
        <x:f>IF(C41&lt;=0.1,"OK","Пересмотреть")</x:f>
        <x:v>OK</x:v>
      </x:c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  <x:c r="Q41" s="6"/>
    </x:row>
    <x:row r="42" ht="19" customHeight="1">
      <x:c r="A42" s="6" t="str">
        <x:v>Участник 2</x:v>
      </x:c>
      <x:c r="B42" s="6" t="str">
        <x:v>K5</x:v>
      </x:c>
      <x:c r="C42" s="34" t="n">
        <x:f>'МАИ проверки'!F155</x:f>
        <x:v>0.007627513477775699</x:v>
      </x:c>
      <x:c r="D42" s="6" t="str">
        <x:f>IF(C42&lt;=0.1,"OK","Пересмотреть")</x:f>
        <x:v>OK</x:v>
      </x:c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  <x:c r="Q42" s="6"/>
    </x:row>
    <x:row r="43" ht="19" customHeight="1">
      <x:c r="A43" s="6" t="str">
        <x:v>Участник 3</x:v>
      </x:c>
      <x:c r="B43" s="6" t="str">
        <x:v>Критерии</x:v>
      </x:c>
      <x:c r="C43" s="34" t="n">
        <x:f>'МАИ проверки'!F169</x:f>
        <x:v>0.023864874224670457</x:v>
      </x:c>
      <x:c r="D43" s="6" t="str">
        <x:f>IF(C43&lt;=0.1,"OK","Пересмотреть")</x:f>
        <x:v>OK</x:v>
      </x:c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  <x:c r="Q43" s="6"/>
    </x:row>
    <x:row r="44" ht="19" customHeight="1">
      <x:c r="A44" s="6" t="str">
        <x:v>Участник 3</x:v>
      </x:c>
      <x:c r="B44" s="6" t="str">
        <x:v>K1</x:v>
      </x:c>
      <x:c r="C44" s="34" t="n">
        <x:f>'МАИ проверки'!F181</x:f>
        <x:v>0.022382820794943338</x:v>
      </x:c>
      <x:c r="D44" s="6" t="str">
        <x:f>IF(C44&lt;=0.1,"OK","Пересмотреть")</x:f>
        <x:v>OK</x:v>
      </x:c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  <x:c r="Q44" s="6"/>
    </x:row>
    <x:row r="45" ht="19" customHeight="1">
      <x:c r="A45" s="6" t="str">
        <x:v>Участник 3</x:v>
      </x:c>
      <x:c r="B45" s="6" t="str">
        <x:v>K2</x:v>
      </x:c>
      <x:c r="C45" s="34" t="n">
        <x:f>'МАИ проверки'!F194</x:f>
        <x:v>0.003835657950579303</x:v>
      </x:c>
      <x:c r="D45" s="6" t="str">
        <x:f>IF(C45&lt;=0.1,"OK","Пересмотреть")</x:f>
        <x:v>OK</x:v>
      </x:c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  <x:c r="Q45" s="6"/>
    </x:row>
    <x:row r="46" ht="19" customHeight="1">
      <x:c r="A46" s="6" t="str">
        <x:v>Участник 3</x:v>
      </x:c>
      <x:c r="B46" s="6" t="str">
        <x:v>K3</x:v>
      </x:c>
      <x:c r="C46" s="34" t="n">
        <x:f>'МАИ проверки'!F207</x:f>
        <x:v>0.007627513477776028</x:v>
      </x:c>
      <x:c r="D46" s="6" t="str">
        <x:f>IF(C46&lt;=0.1,"OK","Пересмотреть")</x:f>
        <x:v>OK</x:v>
      </x:c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  <x:c r="Q46" s="6"/>
    </x:row>
    <x:row r="47" ht="19" customHeight="1">
      <x:c r="A47" s="6" t="str">
        <x:v>Участник 3</x:v>
      </x:c>
      <x:c r="B47" s="6" t="str">
        <x:v>K4</x:v>
      </x:c>
      <x:c r="C47" s="34" t="n">
        <x:f>'МАИ проверки'!F220</x:f>
        <x:v>0.003835657950579303</x:v>
      </x:c>
      <x:c r="D47" s="6" t="str">
        <x:f>IF(C47&lt;=0.1,"OK","Пересмотреть")</x:f>
        <x:v>OK</x:v>
      </x:c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  <x:c r="Q47" s="6"/>
    </x:row>
    <x:row r="48" ht="19" customHeight="1">
      <x:c r="A48" s="6" t="str">
        <x:v>Участник 3</x:v>
      </x:c>
      <x:c r="B48" s="6" t="str">
        <x:v>K5</x:v>
      </x:c>
      <x:c r="C48" s="34" t="n">
        <x:f>'МАИ проверки'!F233</x:f>
        <x:v>0.0099401703859005</x:v>
      </x:c>
      <x:c r="D48" s="6" t="str">
        <x:f>IF(C48&lt;=0.1,"OK","Пересмотреть")</x:f>
        <x:v>OK</x:v>
      </x:c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  <x:c r="Q48" s="6"/>
    </x:row>
    <x:row r="49" ht="19" customHeight="1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  <x:c r="Q49" s="6"/>
    </x:row>
    <x:row r="50" ht="19" customHeight="1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  <x:c r="Q50" s="6"/>
    </x:row>
    <x:row r="51" ht="19" customHeight="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  <x:c r="Q51" s="6"/>
    </x:row>
    <x:row r="52" ht="19" customHeight="1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  <x:c r="Q52" s="6"/>
    </x:row>
    <x:row r="53" ht="19" customHeight="1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  <x:c r="Q53" s="6"/>
    </x:row>
    <x:row r="54" ht="19" customHeight="1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  <x:c r="Q54" s="6"/>
    </x:row>
    <x:row r="55" ht="19" customHeight="1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  <x:c r="Q55" s="6"/>
    </x:row>
    <x:row r="56" ht="19" customHeight="1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  <x:c r="Q56" s="6"/>
    </x:row>
    <x:row r="57" ht="19" customHeight="1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  <x:c r="Q57" s="6"/>
    </x:row>
    <x:row r="58" ht="19" customHeight="1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  <x:c r="Q58" s="6"/>
    </x:row>
    <x:row r="59" ht="19" customHeight="1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  <x:c r="Q59" s="6"/>
    </x:row>
    <x:row r="60" ht="19" customHeight="1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  <x:c r="Q60" s="6"/>
    </x:row>
    <x:row r="61" ht="19" customHeight="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  <x:c r="Q61" s="6"/>
    </x:row>
    <x:row r="62" ht="19" customHeight="1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  <x:c r="Q62" s="6"/>
    </x:row>
    <x:row r="63" ht="19" customHeight="1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  <x:c r="Q63" s="6"/>
    </x:row>
    <x:row r="64" ht="19" customHeight="1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  <x:c r="Q64" s="6"/>
    </x:row>
    <x:row r="65" ht="19" customHeight="1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</x:row>
    <x:row r="66" ht="19" customHeight="1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  <x:c r="Q66" s="6"/>
    </x:row>
    <x:row r="67" ht="19" customHeight="1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  <x:c r="Q67" s="6"/>
    </x:row>
    <x:row r="68" ht="19" customHeight="1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  <x:c r="Q68" s="6"/>
    </x:row>
    <x:row r="69" ht="19" customHeight="1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  <x:c r="Q69" s="6"/>
    </x:row>
    <x:row r="70" ht="19" customHeight="1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</x:row>
    <x:row r="71" ht="19" customHeight="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  <x:c r="Q71" s="6"/>
    </x:row>
    <x:row r="72" ht="19" customHeight="1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  <x:c r="Q72" s="6"/>
    </x:row>
    <x:row r="73" ht="19" customHeight="1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  <x:c r="Q73" s="6"/>
    </x:row>
    <x:row r="74" ht="19" customHeight="1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  <x:c r="Q74" s="6"/>
    </x:row>
    <x:row r="75" ht="19" customHeight="1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  <x:c r="Q75" s="6"/>
    </x:row>
    <x:row r="76" ht="19" customHeight="1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  <x:c r="Q76" s="6"/>
    </x:row>
    <x:row r="77" ht="19" customHeight="1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  <x:c r="Q77" s="6"/>
    </x:row>
    <x:row r="78" ht="19" customHeight="1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  <x:c r="Q78" s="6"/>
    </x:row>
    <x:row r="79" ht="19" customHeight="1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  <x:c r="Q79" s="6"/>
    </x:row>
    <x:row r="80" ht="19" customHeight="1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  <x:c r="Q80" s="6"/>
    </x:row>
    <x:row r="81" ht="19" customHeight="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  <x:c r="Q81" s="6"/>
    </x:row>
    <x:row r="82" ht="19" customHeight="1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  <x:c r="Q82" s="6"/>
    </x:row>
    <x:row r="83" ht="19" customHeight="1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  <x:c r="Q83" s="6"/>
    </x:row>
    <x:row r="84" ht="19" customHeight="1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  <x:c r="Q84" s="6"/>
    </x:row>
    <x:row r="85" ht="19" customHeight="1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</x:row>
    <x:row r="86" ht="19" customHeight="1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  <x:c r="Q86" s="6"/>
    </x:row>
    <x:row r="87" ht="19" customHeight="1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  <x:c r="Q87" s="6"/>
    </x:row>
    <x:row r="88" ht="19" customHeight="1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  <x:c r="Q88" s="6"/>
    </x:row>
    <x:row r="89" ht="19" customHeight="1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  <x:c r="Q89" s="6"/>
    </x:row>
    <x:row r="90" ht="19" customHeight="1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  <x:c r="Q90" s="6"/>
    </x:row>
    <x:row r="91" ht="19" customHeight="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  <x:c r="Q91" s="6"/>
    </x:row>
    <x:row r="92" ht="19" customHeight="1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  <x:c r="Q92" s="6"/>
    </x:row>
    <x:row r="93" ht="19" customHeight="1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  <x:c r="Q93" s="6"/>
    </x:row>
    <x:row r="94" ht="19" customHeight="1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  <x:c r="Q94" s="6"/>
    </x:row>
    <x:row r="95" ht="19" customHeight="1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  <x:c r="Q95" s="6"/>
    </x:row>
    <x:row r="96" ht="19" customHeight="1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  <x:c r="Q96" s="6"/>
    </x:row>
    <x:row r="97" ht="19" customHeight="1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  <x:c r="Q97" s="6"/>
    </x:row>
    <x:row r="98" ht="19" customHeight="1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  <x:c r="Q98" s="6"/>
    </x:row>
    <x:row r="99" ht="19" customHeight="1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  <x:c r="Q99" s="6"/>
    </x:row>
    <x:row r="100" ht="19" customHeight="1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  <x:c r="Q100" s="6"/>
    </x:row>
    <x:row r="101" ht="19" customHeight="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  <x:c r="L101" s="6"/>
      <x:c r="M101" s="6"/>
      <x:c r="N101" s="6"/>
      <x:c r="O101" s="6"/>
      <x:c r="P101" s="6"/>
      <x:c r="Q101" s="6"/>
    </x:row>
    <x:row r="102" ht="19" customHeight="1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  <x:c r="M102" s="6"/>
      <x:c r="N102" s="6"/>
      <x:c r="O102" s="6"/>
      <x:c r="P102" s="6"/>
      <x:c r="Q102" s="6"/>
    </x:row>
    <x:row r="103" ht="19" customHeight="1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  <x:c r="L103" s="6"/>
      <x:c r="M103" s="6"/>
      <x:c r="N103" s="6"/>
      <x:c r="O103" s="6"/>
      <x:c r="P103" s="6"/>
      <x:c r="Q103" s="6"/>
    </x:row>
    <x:row r="104" ht="19" customHeight="1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  <x:c r="M104" s="6"/>
      <x:c r="N104" s="6"/>
      <x:c r="O104" s="6"/>
      <x:c r="P104" s="6"/>
      <x:c r="Q104" s="6"/>
    </x:row>
    <x:row r="105" ht="19" customHeight="1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  <x:c r="M105" s="6"/>
      <x:c r="N105" s="6"/>
      <x:c r="O105" s="6"/>
      <x:c r="P105" s="6"/>
      <x:c r="Q105" s="6"/>
    </x:row>
    <x:row r="106" ht="19" customHeight="1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  <x:c r="M106" s="6"/>
      <x:c r="N106" s="6"/>
      <x:c r="O106" s="6"/>
      <x:c r="P106" s="6"/>
      <x:c r="Q106" s="6"/>
    </x:row>
    <x:row r="107" ht="19" customHeight="1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  <x:c r="M107" s="6"/>
      <x:c r="N107" s="6"/>
      <x:c r="O107" s="6"/>
      <x:c r="P107" s="6"/>
      <x:c r="Q107" s="6"/>
    </x:row>
    <x:row r="108" ht="19" customHeight="1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  <x:c r="M108" s="6"/>
      <x:c r="N108" s="6"/>
      <x:c r="O108" s="6"/>
      <x:c r="P108" s="6"/>
      <x:c r="Q108" s="6"/>
    </x:row>
    <x:row r="109" ht="19" customHeight="1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  <x:c r="L109" s="6"/>
      <x:c r="M109" s="6"/>
      <x:c r="N109" s="6"/>
      <x:c r="O109" s="6"/>
      <x:c r="P109" s="6"/>
      <x:c r="Q109" s="6"/>
    </x:row>
    <x:row r="110" ht="19" customHeight="1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  <x:c r="L110" s="6"/>
      <x:c r="M110" s="6"/>
      <x:c r="N110" s="6"/>
      <x:c r="O110" s="6"/>
      <x:c r="P110" s="6"/>
      <x:c r="Q110" s="6"/>
    </x:row>
    <x:row r="111" ht="19" customHeight="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  <x:c r="L111" s="6"/>
      <x:c r="M111" s="6"/>
      <x:c r="N111" s="6"/>
      <x:c r="O111" s="6"/>
      <x:c r="P111" s="6"/>
      <x:c r="Q111" s="6"/>
    </x:row>
    <x:row r="112" ht="19" customHeight="1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  <x:c r="L112" s="6"/>
      <x:c r="M112" s="6"/>
      <x:c r="N112" s="6"/>
      <x:c r="O112" s="6"/>
      <x:c r="P112" s="6"/>
      <x:c r="Q112" s="6"/>
    </x:row>
    <x:row r="113" ht="19" customHeight="1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  <x:c r="L113" s="6"/>
      <x:c r="M113" s="6"/>
      <x:c r="N113" s="6"/>
      <x:c r="O113" s="6"/>
      <x:c r="P113" s="6"/>
      <x:c r="Q113" s="6"/>
    </x:row>
    <x:row r="114" ht="19" customHeight="1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  <x:c r="L114" s="6"/>
      <x:c r="M114" s="6"/>
      <x:c r="N114" s="6"/>
      <x:c r="O114" s="6"/>
      <x:c r="P114" s="6"/>
      <x:c r="Q114" s="6"/>
    </x:row>
    <x:row r="115" ht="19" customHeight="1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  <x:c r="M115" s="6"/>
      <x:c r="N115" s="6"/>
      <x:c r="O115" s="6"/>
      <x:c r="P115" s="6"/>
      <x:c r="Q115" s="6"/>
    </x:row>
    <x:row r="116" ht="19" customHeight="1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  <x:c r="L116" s="6"/>
      <x:c r="M116" s="6"/>
      <x:c r="N116" s="6"/>
      <x:c r="O116" s="6"/>
      <x:c r="P116" s="6"/>
      <x:c r="Q116" s="6"/>
    </x:row>
    <x:row r="117" ht="19" customHeight="1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  <x:c r="M117" s="6"/>
      <x:c r="N117" s="6"/>
      <x:c r="O117" s="6"/>
      <x:c r="P117" s="6"/>
      <x:c r="Q117" s="6"/>
    </x:row>
    <x:row r="118" ht="19" customHeight="1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  <x:c r="M118" s="6"/>
      <x:c r="N118" s="6"/>
      <x:c r="O118" s="6"/>
      <x:c r="P118" s="6"/>
      <x:c r="Q118" s="6"/>
    </x:row>
    <x:row r="119" ht="19" customHeight="1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  <x:c r="M119" s="6"/>
      <x:c r="N119" s="6"/>
      <x:c r="O119" s="6"/>
      <x:c r="P119" s="6"/>
      <x:c r="Q119" s="6"/>
    </x:row>
    <x:row r="120" ht="19" customHeight="1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  <x:c r="M120" s="6"/>
      <x:c r="N120" s="6"/>
      <x:c r="O120" s="6"/>
      <x:c r="P120" s="6"/>
      <x:c r="Q120" s="6"/>
    </x:row>
    <x:row r="121" ht="19" customHeight="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  <x:c r="M121" s="6"/>
      <x:c r="N121" s="6"/>
      <x:c r="O121" s="6"/>
      <x:c r="P121" s="6"/>
      <x:c r="Q121" s="6"/>
    </x:row>
    <x:row r="122" ht="19" customHeight="1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  <x:c r="L122" s="6"/>
      <x:c r="M122" s="6"/>
      <x:c r="N122" s="6"/>
      <x:c r="O122" s="6"/>
      <x:c r="P122" s="6"/>
      <x:c r="Q122" s="6"/>
    </x:row>
    <x:row r="123" ht="19" customHeight="1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  <x:c r="L123" s="6"/>
      <x:c r="M123" s="6"/>
      <x:c r="N123" s="6"/>
      <x:c r="O123" s="6"/>
      <x:c r="P123" s="6"/>
      <x:c r="Q123" s="6"/>
    </x:row>
    <x:row r="124" ht="19" customHeight="1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  <x:c r="L124" s="6"/>
      <x:c r="M124" s="6"/>
      <x:c r="N124" s="6"/>
      <x:c r="O124" s="6"/>
      <x:c r="P124" s="6"/>
      <x:c r="Q124" s="6"/>
    </x:row>
    <x:row r="125" ht="19" customHeight="1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  <x:c r="L125" s="6"/>
      <x:c r="M125" s="6"/>
      <x:c r="N125" s="6"/>
      <x:c r="O125" s="6"/>
      <x:c r="P125" s="6"/>
      <x:c r="Q125" s="6"/>
    </x:row>
    <x:row r="126" ht="19" customHeight="1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  <x:c r="L126" s="6"/>
      <x:c r="M126" s="6"/>
      <x:c r="N126" s="6"/>
      <x:c r="O126" s="6"/>
      <x:c r="P126" s="6"/>
      <x:c r="Q126" s="6"/>
    </x:row>
    <x:row r="127" ht="19" customHeight="1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  <x:c r="L127" s="6"/>
      <x:c r="M127" s="6"/>
      <x:c r="N127" s="6"/>
      <x:c r="O127" s="6"/>
      <x:c r="P127" s="6"/>
      <x:c r="Q127" s="6"/>
    </x:row>
    <x:row r="128" ht="19" customHeight="1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  <x:c r="M128" s="6"/>
      <x:c r="N128" s="6"/>
      <x:c r="O128" s="6"/>
      <x:c r="P128" s="6"/>
      <x:c r="Q128" s="6"/>
    </x:row>
    <x:row r="129" ht="19" customHeight="1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  <x:c r="L129" s="6"/>
      <x:c r="M129" s="6"/>
      <x:c r="N129" s="6"/>
      <x:c r="O129" s="6"/>
      <x:c r="P129" s="6"/>
      <x:c r="Q129" s="6"/>
    </x:row>
    <x:row r="130" ht="19" customHeight="1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  <x:c r="M130" s="6"/>
      <x:c r="N130" s="6"/>
      <x:c r="O130" s="6"/>
      <x:c r="P130" s="6"/>
      <x:c r="Q130" s="6"/>
    </x:row>
    <x:row r="131" ht="19" customHeight="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  <x:c r="M131" s="6"/>
      <x:c r="N131" s="6"/>
      <x:c r="O131" s="6"/>
      <x:c r="P131" s="6"/>
      <x:c r="Q131" s="6"/>
    </x:row>
    <x:row r="132" ht="19" customHeight="1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  <x:c r="M132" s="6"/>
      <x:c r="N132" s="6"/>
      <x:c r="O132" s="6"/>
      <x:c r="P132" s="6"/>
      <x:c r="Q132" s="6"/>
    </x:row>
    <x:row r="133" ht="19" customHeight="1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  <x:c r="M133" s="6"/>
      <x:c r="N133" s="6"/>
      <x:c r="O133" s="6"/>
      <x:c r="P133" s="6"/>
      <x:c r="Q133" s="6"/>
    </x:row>
    <x:row r="134" ht="19" customHeight="1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  <x:c r="M134" s="6"/>
      <x:c r="N134" s="6"/>
      <x:c r="O134" s="6"/>
      <x:c r="P134" s="6"/>
      <x:c r="Q134" s="6"/>
    </x:row>
    <x:row r="135" ht="19" customHeight="1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  <x:c r="M135" s="6"/>
      <x:c r="N135" s="6"/>
      <x:c r="O135" s="6"/>
      <x:c r="P135" s="6"/>
      <x:c r="Q135" s="6"/>
    </x:row>
    <x:row r="136" ht="19" customHeight="1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  <x:c r="M136" s="6"/>
      <x:c r="N136" s="6"/>
      <x:c r="O136" s="6"/>
      <x:c r="P136" s="6"/>
      <x:c r="Q136" s="6"/>
    </x:row>
    <x:row r="137" ht="19" customHeight="1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  <x:c r="M137" s="6"/>
      <x:c r="N137" s="6"/>
      <x:c r="O137" s="6"/>
      <x:c r="P137" s="6"/>
      <x:c r="Q137" s="6"/>
    </x:row>
    <x:row r="138" ht="19" customHeight="1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  <x:c r="M138" s="6"/>
      <x:c r="N138" s="6"/>
      <x:c r="O138" s="6"/>
      <x:c r="P138" s="6"/>
      <x:c r="Q138" s="6"/>
    </x:row>
    <x:row r="139" ht="19" customHeight="1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  <x:c r="N139" s="6"/>
      <x:c r="O139" s="6"/>
      <x:c r="P139" s="6"/>
      <x:c r="Q139" s="6"/>
    </x:row>
    <x:row r="140" ht="19" customHeight="1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  <x:c r="M140" s="6"/>
      <x:c r="N140" s="6"/>
      <x:c r="O140" s="6"/>
      <x:c r="P140" s="6"/>
      <x:c r="Q140" s="6"/>
    </x:row>
    <x:row r="141" ht="19" customHeight="1">
      <x:c r="A141" s="6"/>
      <x:c r="B141" s="6"/>
      <x:c r="C141" s="6"/>
      <x:c r="D141" s="6"/>
      <x:c r="E141" s="6"/>
      <x:c r="F141" s="6"/>
      <x:c r="G141" s="6"/>
      <x:c r="H141" s="6"/>
      <x:c r="I141" s="6"/>
      <x:c r="J141" s="6"/>
      <x:c r="K141" s="6"/>
      <x:c r="L141" s="6"/>
      <x:c r="M141" s="6"/>
      <x:c r="N141" s="6"/>
      <x:c r="O141" s="6"/>
      <x:c r="P141" s="6"/>
      <x:c r="Q141" s="6"/>
    </x:row>
    <x:row r="142" ht="19" customHeight="1">
      <x:c r="A142" s="6"/>
      <x:c r="B142" s="6"/>
      <x:c r="C142" s="6"/>
      <x:c r="D142" s="6"/>
      <x:c r="E142" s="6"/>
      <x:c r="F142" s="6"/>
      <x:c r="G142" s="6"/>
      <x:c r="H142" s="6"/>
      <x:c r="I142" s="6"/>
      <x:c r="J142" s="6"/>
      <x:c r="K142" s="6"/>
      <x:c r="L142" s="6"/>
      <x:c r="M142" s="6"/>
      <x:c r="N142" s="6"/>
      <x:c r="O142" s="6"/>
      <x:c r="P142" s="6"/>
      <x:c r="Q142" s="6"/>
    </x:row>
    <x:row r="143" ht="19" customHeight="1">
      <x:c r="A143" s="6"/>
      <x:c r="B143" s="6"/>
      <x:c r="C143" s="6"/>
      <x:c r="D143" s="6"/>
      <x:c r="E143" s="6"/>
      <x:c r="F143" s="6"/>
      <x:c r="G143" s="6"/>
      <x:c r="H143" s="6"/>
      <x:c r="I143" s="6"/>
      <x:c r="J143" s="6"/>
      <x:c r="K143" s="6"/>
      <x:c r="L143" s="6"/>
      <x:c r="M143" s="6"/>
      <x:c r="N143" s="6"/>
      <x:c r="O143" s="6"/>
      <x:c r="P143" s="6"/>
      <x:c r="Q143" s="6"/>
    </x:row>
    <x:row r="144" ht="19" customHeight="1">
      <x:c r="A144" s="6"/>
      <x:c r="B144" s="6"/>
      <x:c r="C144" s="6"/>
      <x:c r="D144" s="6"/>
      <x:c r="E144" s="6"/>
      <x:c r="F144" s="6"/>
      <x:c r="G144" s="6"/>
      <x:c r="H144" s="6"/>
      <x:c r="I144" s="6"/>
      <x:c r="J144" s="6"/>
      <x:c r="K144" s="6"/>
      <x:c r="L144" s="6"/>
      <x:c r="M144" s="6"/>
      <x:c r="N144" s="6"/>
      <x:c r="O144" s="6"/>
      <x:c r="P144" s="6"/>
      <x:c r="Q144" s="6"/>
    </x:row>
    <x:row r="145" ht="19" customHeight="1">
      <x:c r="A145" s="6"/>
      <x:c r="B145" s="6"/>
      <x:c r="C145" s="6"/>
      <x:c r="D145" s="6"/>
      <x:c r="E145" s="6"/>
      <x:c r="F145" s="6"/>
      <x:c r="G145" s="6"/>
      <x:c r="H145" s="6"/>
      <x:c r="I145" s="6"/>
      <x:c r="J145" s="6"/>
      <x:c r="K145" s="6"/>
      <x:c r="L145" s="6"/>
      <x:c r="M145" s="6"/>
      <x:c r="N145" s="6"/>
      <x:c r="O145" s="6"/>
      <x:c r="P145" s="6"/>
      <x:c r="Q145" s="6"/>
    </x:row>
    <x:row r="146" ht="19" customHeight="1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  <x:c r="K146" s="6"/>
      <x:c r="L146" s="6"/>
      <x:c r="M146" s="6"/>
      <x:c r="N146" s="6"/>
      <x:c r="O146" s="6"/>
      <x:c r="P146" s="6"/>
      <x:c r="Q146" s="6"/>
    </x:row>
    <x:row r="147" ht="19" customHeight="1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  <x:c r="K147" s="6"/>
      <x:c r="L147" s="6"/>
      <x:c r="M147" s="6"/>
      <x:c r="N147" s="6"/>
      <x:c r="O147" s="6"/>
      <x:c r="P147" s="6"/>
      <x:c r="Q147" s="6"/>
    </x:row>
    <x:row r="148" ht="19" customHeight="1">
      <x:c r="A148" s="6"/>
      <x:c r="B148" s="6"/>
      <x:c r="C148" s="6"/>
      <x:c r="D148" s="6"/>
      <x:c r="E148" s="6"/>
      <x:c r="F148" s="6"/>
      <x:c r="G148" s="6"/>
      <x:c r="H148" s="6"/>
      <x:c r="I148" s="6"/>
      <x:c r="J148" s="6"/>
      <x:c r="K148" s="6"/>
      <x:c r="L148" s="6"/>
      <x:c r="M148" s="6"/>
      <x:c r="N148" s="6"/>
      <x:c r="O148" s="6"/>
      <x:c r="P148" s="6"/>
      <x:c r="Q148" s="6"/>
    </x:row>
    <x:row r="149" ht="19" customHeight="1">
      <x:c r="A149" s="6"/>
      <x:c r="B149" s="6"/>
      <x:c r="C149" s="6"/>
      <x:c r="D149" s="6"/>
      <x:c r="E149" s="6"/>
      <x:c r="F149" s="6"/>
      <x:c r="G149" s="6"/>
      <x:c r="H149" s="6"/>
      <x:c r="I149" s="6"/>
      <x:c r="J149" s="6"/>
      <x:c r="K149" s="6"/>
      <x:c r="L149" s="6"/>
      <x:c r="M149" s="6"/>
      <x:c r="N149" s="6"/>
      <x:c r="O149" s="6"/>
      <x:c r="P149" s="6"/>
      <x:c r="Q149" s="6"/>
    </x:row>
    <x:row r="150" ht="19" customHeight="1">
      <x:c r="A150" s="6"/>
      <x:c r="B150" s="6"/>
      <x:c r="C150" s="6"/>
      <x:c r="D150" s="6"/>
      <x:c r="E150" s="6"/>
      <x:c r="F150" s="6"/>
      <x:c r="G150" s="6"/>
      <x:c r="H150" s="6"/>
      <x:c r="I150" s="6"/>
      <x:c r="J150" s="6"/>
      <x:c r="K150" s="6"/>
      <x:c r="L150" s="6"/>
      <x:c r="M150" s="6"/>
      <x:c r="N150" s="6"/>
      <x:c r="O150" s="6"/>
      <x:c r="P150" s="6"/>
      <x:c r="Q150" s="6"/>
    </x:row>
    <x:row r="151" ht="19" customHeight="1">
      <x:c r="A151" s="6"/>
      <x:c r="B151" s="6"/>
      <x:c r="C151" s="6"/>
      <x:c r="D151" s="6"/>
      <x:c r="E151" s="6"/>
      <x:c r="F151" s="6"/>
      <x:c r="G151" s="6"/>
      <x:c r="H151" s="6"/>
      <x:c r="I151" s="6"/>
      <x:c r="J151" s="6"/>
      <x:c r="K151" s="6"/>
      <x:c r="L151" s="6"/>
      <x:c r="M151" s="6"/>
      <x:c r="N151" s="6"/>
      <x:c r="O151" s="6"/>
      <x:c r="P151" s="6"/>
      <x:c r="Q151" s="6"/>
    </x:row>
    <x:row r="152" ht="19" customHeight="1">
      <x:c r="A152" s="6"/>
      <x:c r="B152" s="6"/>
      <x:c r="C152" s="6"/>
      <x:c r="D152" s="6"/>
      <x:c r="E152" s="6"/>
      <x:c r="F152" s="6"/>
      <x:c r="G152" s="6"/>
      <x:c r="H152" s="6"/>
      <x:c r="I152" s="6"/>
      <x:c r="J152" s="6"/>
      <x:c r="K152" s="6"/>
      <x:c r="L152" s="6"/>
      <x:c r="M152" s="6"/>
      <x:c r="N152" s="6"/>
      <x:c r="O152" s="6"/>
      <x:c r="P152" s="6"/>
      <x:c r="Q152" s="6"/>
    </x:row>
    <x:row r="153" ht="19" customHeight="1">
      <x:c r="A153" s="6"/>
      <x:c r="B153" s="6"/>
      <x:c r="C153" s="6"/>
      <x:c r="D153" s="6"/>
      <x:c r="E153" s="6"/>
      <x:c r="F153" s="6"/>
      <x:c r="G153" s="6"/>
      <x:c r="H153" s="6"/>
      <x:c r="I153" s="6"/>
      <x:c r="J153" s="6"/>
      <x:c r="K153" s="6"/>
      <x:c r="L153" s="6"/>
      <x:c r="M153" s="6"/>
      <x:c r="N153" s="6"/>
      <x:c r="O153" s="6"/>
      <x:c r="P153" s="6"/>
      <x:c r="Q153" s="6"/>
    </x:row>
    <x:row r="154" ht="19" customHeight="1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  <x:c r="K154" s="6"/>
      <x:c r="L154" s="6"/>
      <x:c r="M154" s="6"/>
      <x:c r="N154" s="6"/>
      <x:c r="O154" s="6"/>
      <x:c r="P154" s="6"/>
      <x:c r="Q154" s="6"/>
    </x:row>
    <x:row r="155" ht="19" customHeight="1">
      <x:c r="A155" s="6"/>
      <x:c r="B155" s="6"/>
      <x:c r="C155" s="6"/>
      <x:c r="D155" s="6"/>
      <x:c r="E155" s="6"/>
      <x:c r="F155" s="6"/>
      <x:c r="G155" s="6"/>
      <x:c r="H155" s="6"/>
      <x:c r="I155" s="6"/>
      <x:c r="J155" s="6"/>
      <x:c r="K155" s="6"/>
      <x:c r="L155" s="6"/>
      <x:c r="M155" s="6"/>
      <x:c r="N155" s="6"/>
      <x:c r="O155" s="6"/>
      <x:c r="P155" s="6"/>
      <x:c r="Q155" s="6"/>
    </x:row>
    <x:row r="156" ht="19" customHeight="1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  <x:c r="K156" s="6"/>
      <x:c r="L156" s="6"/>
      <x:c r="M156" s="6"/>
      <x:c r="N156" s="6"/>
      <x:c r="O156" s="6"/>
      <x:c r="P156" s="6"/>
      <x:c r="Q156" s="6"/>
    </x:row>
    <x:row r="157" ht="19" customHeight="1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  <x:c r="K157" s="6"/>
      <x:c r="L157" s="6"/>
      <x:c r="M157" s="6"/>
      <x:c r="N157" s="6"/>
      <x:c r="O157" s="6"/>
      <x:c r="P157" s="6"/>
      <x:c r="Q157" s="6"/>
    </x:row>
    <x:row r="158" ht="19" customHeight="1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  <x:c r="K158" s="6"/>
      <x:c r="L158" s="6"/>
      <x:c r="M158" s="6"/>
      <x:c r="N158" s="6"/>
      <x:c r="O158" s="6"/>
      <x:c r="P158" s="6"/>
      <x:c r="Q158" s="6"/>
    </x:row>
    <x:row r="159" ht="19" customHeight="1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  <x:c r="K159" s="6"/>
      <x:c r="L159" s="6"/>
      <x:c r="M159" s="6"/>
      <x:c r="N159" s="6"/>
      <x:c r="O159" s="6"/>
      <x:c r="P159" s="6"/>
      <x:c r="Q159" s="6"/>
    </x:row>
    <x:row r="160" ht="19" customHeight="1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  <x:c r="K160" s="6"/>
      <x:c r="L160" s="6"/>
      <x:c r="M160" s="6"/>
      <x:c r="N160" s="6"/>
      <x:c r="O160" s="6"/>
      <x:c r="P160" s="6"/>
      <x:c r="Q160" s="6"/>
    </x:row>
    <x:row r="161" ht="19" customHeight="1">
      <x:c r="A161" s="6"/>
      <x:c r="B161" s="6"/>
      <x:c r="C161" s="6"/>
      <x:c r="D161" s="6"/>
      <x:c r="E161" s="6"/>
      <x:c r="F161" s="6"/>
      <x:c r="G161" s="6"/>
      <x:c r="H161" s="6"/>
      <x:c r="I161" s="6"/>
      <x:c r="J161" s="6"/>
      <x:c r="K161" s="6"/>
      <x:c r="L161" s="6"/>
      <x:c r="M161" s="6"/>
      <x:c r="N161" s="6"/>
      <x:c r="O161" s="6"/>
      <x:c r="P161" s="6"/>
      <x:c r="Q161" s="6"/>
    </x:row>
    <x:row r="162" ht="19" customHeight="1">
      <x:c r="A162" s="6"/>
      <x:c r="B162" s="6"/>
      <x:c r="C162" s="6"/>
      <x:c r="D162" s="6"/>
      <x:c r="E162" s="6"/>
      <x:c r="F162" s="6"/>
      <x:c r="G162" s="6"/>
      <x:c r="H162" s="6"/>
      <x:c r="I162" s="6"/>
      <x:c r="J162" s="6"/>
      <x:c r="K162" s="6"/>
      <x:c r="L162" s="6"/>
      <x:c r="M162" s="6"/>
      <x:c r="N162" s="6"/>
      <x:c r="O162" s="6"/>
      <x:c r="P162" s="6"/>
      <x:c r="Q162" s="6"/>
    </x:row>
    <x:row r="163" ht="19" customHeight="1">
      <x:c r="A163" s="6"/>
      <x:c r="B163" s="6"/>
      <x:c r="C163" s="6"/>
      <x:c r="D163" s="6"/>
      <x:c r="E163" s="6"/>
      <x:c r="F163" s="6"/>
      <x:c r="G163" s="6"/>
      <x:c r="H163" s="6"/>
      <x:c r="I163" s="6"/>
      <x:c r="J163" s="6"/>
      <x:c r="K163" s="6"/>
      <x:c r="L163" s="6"/>
      <x:c r="M163" s="6"/>
      <x:c r="N163" s="6"/>
      <x:c r="O163" s="6"/>
      <x:c r="P163" s="6"/>
      <x:c r="Q163" s="6"/>
    </x:row>
    <x:row r="164" ht="19" customHeight="1">
      <x:c r="A164" s="6"/>
      <x:c r="B164" s="6"/>
      <x:c r="C164" s="6"/>
      <x:c r="D164" s="6"/>
      <x:c r="E164" s="6"/>
      <x:c r="F164" s="6"/>
      <x:c r="G164" s="6"/>
      <x:c r="H164" s="6"/>
      <x:c r="I164" s="6"/>
      <x:c r="J164" s="6"/>
      <x:c r="K164" s="6"/>
      <x:c r="L164" s="6"/>
      <x:c r="M164" s="6"/>
      <x:c r="N164" s="6"/>
      <x:c r="O164" s="6"/>
      <x:c r="P164" s="6"/>
      <x:c r="Q164" s="6"/>
    </x:row>
    <x:row r="165" ht="19" customHeight="1">
      <x:c r="A165" s="6"/>
      <x:c r="B165" s="6"/>
      <x:c r="C165" s="6"/>
      <x:c r="D165" s="6"/>
      <x:c r="E165" s="6"/>
      <x:c r="F165" s="6"/>
      <x:c r="G165" s="6"/>
      <x:c r="H165" s="6"/>
      <x:c r="I165" s="6"/>
      <x:c r="J165" s="6"/>
      <x:c r="K165" s="6"/>
      <x:c r="L165" s="6"/>
      <x:c r="M165" s="6"/>
      <x:c r="N165" s="6"/>
      <x:c r="O165" s="6"/>
      <x:c r="P165" s="6"/>
      <x:c r="Q165" s="6"/>
    </x:row>
    <x:row r="166" ht="19" customHeight="1">
      <x:c r="A166" s="6"/>
      <x:c r="B166" s="6"/>
      <x:c r="C166" s="6"/>
      <x:c r="D166" s="6"/>
      <x:c r="E166" s="6"/>
      <x:c r="F166" s="6"/>
      <x:c r="G166" s="6"/>
      <x:c r="H166" s="6"/>
      <x:c r="I166" s="6"/>
      <x:c r="J166" s="6"/>
      <x:c r="K166" s="6"/>
      <x:c r="L166" s="6"/>
      <x:c r="M166" s="6"/>
      <x:c r="N166" s="6"/>
      <x:c r="O166" s="6"/>
      <x:c r="P166" s="6"/>
      <x:c r="Q166" s="6"/>
    </x:row>
    <x:row r="167" ht="19" customHeight="1">
      <x:c r="A167" s="6"/>
      <x:c r="B167" s="6"/>
      <x:c r="C167" s="6"/>
      <x:c r="D167" s="6"/>
      <x:c r="E167" s="6"/>
      <x:c r="F167" s="6"/>
      <x:c r="G167" s="6"/>
      <x:c r="H167" s="6"/>
      <x:c r="I167" s="6"/>
      <x:c r="J167" s="6"/>
      <x:c r="K167" s="6"/>
      <x:c r="L167" s="6"/>
      <x:c r="M167" s="6"/>
      <x:c r="N167" s="6"/>
      <x:c r="O167" s="6"/>
      <x:c r="P167" s="6"/>
      <x:c r="Q167" s="6"/>
    </x:row>
    <x:row r="168" ht="19" customHeight="1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  <x:c r="K168" s="6"/>
      <x:c r="L168" s="6"/>
      <x:c r="M168" s="6"/>
      <x:c r="N168" s="6"/>
      <x:c r="O168" s="6"/>
      <x:c r="P168" s="6"/>
      <x:c r="Q168" s="6"/>
    </x:row>
    <x:row r="169" ht="19" customHeight="1">
      <x:c r="A169" s="6"/>
      <x:c r="B169" s="6"/>
      <x:c r="C169" s="6"/>
      <x:c r="D169" s="6"/>
      <x:c r="E169" s="6"/>
      <x:c r="F169" s="6"/>
      <x:c r="G169" s="6"/>
      <x:c r="H169" s="6"/>
      <x:c r="I169" s="6"/>
      <x:c r="J169" s="6"/>
      <x:c r="K169" s="6"/>
      <x:c r="L169" s="6"/>
      <x:c r="M169" s="6"/>
      <x:c r="N169" s="6"/>
      <x:c r="O169" s="6"/>
      <x:c r="P169" s="6"/>
      <x:c r="Q169" s="6"/>
    </x:row>
    <x:row r="170" ht="19" customHeight="1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  <x:c r="K170" s="6"/>
      <x:c r="L170" s="6"/>
      <x:c r="M170" s="6"/>
      <x:c r="N170" s="6"/>
      <x:c r="O170" s="6"/>
      <x:c r="P170" s="6"/>
      <x:c r="Q170" s="6"/>
    </x:row>
    <x:row r="171" ht="19" customHeight="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  <x:c r="M171" s="6"/>
      <x:c r="N171" s="6"/>
      <x:c r="O171" s="6"/>
      <x:c r="P171" s="6"/>
      <x:c r="Q171" s="6"/>
    </x:row>
    <x:row r="172" ht="19" customHeight="1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  <x:c r="K172" s="6"/>
      <x:c r="L172" s="6"/>
      <x:c r="M172" s="6"/>
      <x:c r="N172" s="6"/>
      <x:c r="O172" s="6"/>
      <x:c r="P172" s="6"/>
      <x:c r="Q172" s="6"/>
    </x:row>
    <x:row r="173" ht="19" customHeight="1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  <x:c r="K173" s="6"/>
      <x:c r="L173" s="6"/>
      <x:c r="M173" s="6"/>
      <x:c r="N173" s="6"/>
      <x:c r="O173" s="6"/>
      <x:c r="P173" s="6"/>
      <x:c r="Q173" s="6"/>
    </x:row>
    <x:row r="174" ht="19" customHeight="1">
      <x:c r="A174" s="6"/>
      <x:c r="B174" s="6"/>
      <x:c r="C174" s="6"/>
      <x:c r="D174" s="6"/>
      <x:c r="E174" s="6"/>
      <x:c r="F174" s="6"/>
      <x:c r="G174" s="6"/>
      <x:c r="H174" s="6"/>
      <x:c r="I174" s="6"/>
      <x:c r="J174" s="6"/>
      <x:c r="K174" s="6"/>
      <x:c r="L174" s="6"/>
      <x:c r="M174" s="6"/>
      <x:c r="N174" s="6"/>
      <x:c r="O174" s="6"/>
      <x:c r="P174" s="6"/>
      <x:c r="Q174" s="6"/>
    </x:row>
    <x:row r="175" ht="19" customHeight="1">
      <x:c r="A175" s="6"/>
      <x:c r="B175" s="6"/>
      <x:c r="C175" s="6"/>
      <x:c r="D175" s="6"/>
      <x:c r="E175" s="6"/>
      <x:c r="F175" s="6"/>
      <x:c r="G175" s="6"/>
      <x:c r="H175" s="6"/>
      <x:c r="I175" s="6"/>
      <x:c r="J175" s="6"/>
      <x:c r="K175" s="6"/>
      <x:c r="L175" s="6"/>
      <x:c r="M175" s="6"/>
      <x:c r="N175" s="6"/>
      <x:c r="O175" s="6"/>
      <x:c r="P175" s="6"/>
      <x:c r="Q175" s="6"/>
    </x:row>
    <x:row r="176" ht="19" customHeight="1">
      <x:c r="A176" s="6"/>
      <x:c r="B176" s="6"/>
      <x:c r="C176" s="6"/>
      <x:c r="D176" s="6"/>
      <x:c r="E176" s="6"/>
      <x:c r="F176" s="6"/>
      <x:c r="G176" s="6"/>
      <x:c r="H176" s="6"/>
      <x:c r="I176" s="6"/>
      <x:c r="J176" s="6"/>
      <x:c r="K176" s="6"/>
      <x:c r="L176" s="6"/>
      <x:c r="M176" s="6"/>
      <x:c r="N176" s="6"/>
      <x:c r="O176" s="6"/>
      <x:c r="P176" s="6"/>
      <x:c r="Q176" s="6"/>
    </x:row>
    <x:row r="177" ht="19" customHeight="1">
      <x:c r="A177" s="6"/>
      <x:c r="B177" s="6"/>
      <x:c r="C177" s="6"/>
      <x:c r="D177" s="6"/>
      <x:c r="E177" s="6"/>
      <x:c r="F177" s="6"/>
      <x:c r="G177" s="6"/>
      <x:c r="H177" s="6"/>
      <x:c r="I177" s="6"/>
      <x:c r="J177" s="6"/>
      <x:c r="K177" s="6"/>
      <x:c r="L177" s="6"/>
      <x:c r="M177" s="6"/>
      <x:c r="N177" s="6"/>
      <x:c r="O177" s="6"/>
      <x:c r="P177" s="6"/>
      <x:c r="Q177" s="6"/>
    </x:row>
    <x:row r="178" ht="19" customHeight="1">
      <x:c r="A178" s="6"/>
      <x:c r="B178" s="6"/>
      <x:c r="C178" s="6"/>
      <x:c r="D178" s="6"/>
      <x:c r="E178" s="6"/>
      <x:c r="F178" s="6"/>
      <x:c r="G178" s="6"/>
      <x:c r="H178" s="6"/>
      <x:c r="I178" s="6"/>
      <x:c r="J178" s="6"/>
      <x:c r="K178" s="6"/>
      <x:c r="L178" s="6"/>
      <x:c r="M178" s="6"/>
      <x:c r="N178" s="6"/>
      <x:c r="O178" s="6"/>
      <x:c r="P178" s="6"/>
      <x:c r="Q178" s="6"/>
    </x:row>
    <x:row r="179" ht="19" customHeight="1">
      <x:c r="A179" s="6"/>
      <x:c r="B179" s="6"/>
      <x:c r="C179" s="6"/>
      <x:c r="D179" s="6"/>
      <x:c r="E179" s="6"/>
      <x:c r="F179" s="6"/>
      <x:c r="G179" s="6"/>
      <x:c r="H179" s="6"/>
      <x:c r="I179" s="6"/>
      <x:c r="J179" s="6"/>
      <x:c r="K179" s="6"/>
      <x:c r="L179" s="6"/>
      <x:c r="M179" s="6"/>
      <x:c r="N179" s="6"/>
      <x:c r="O179" s="6"/>
      <x:c r="P179" s="6"/>
      <x:c r="Q179" s="6"/>
    </x:row>
    <x:row r="180" ht="19" customHeight="1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  <x:c r="K180" s="6"/>
      <x:c r="L180" s="6"/>
      <x:c r="M180" s="6"/>
      <x:c r="N180" s="6"/>
      <x:c r="O180" s="6"/>
      <x:c r="P180" s="6"/>
      <x:c r="Q180" s="6"/>
    </x:row>
    <x:row r="181" ht="19" customHeight="1">
      <x:c r="A181" s="6"/>
      <x:c r="B181" s="6"/>
      <x:c r="C181" s="6"/>
      <x:c r="D181" s="6"/>
      <x:c r="E181" s="6"/>
      <x:c r="F181" s="6"/>
      <x:c r="G181" s="6"/>
      <x:c r="H181" s="6"/>
      <x:c r="I181" s="6"/>
      <x:c r="J181" s="6"/>
      <x:c r="K181" s="6"/>
      <x:c r="L181" s="6"/>
      <x:c r="M181" s="6"/>
      <x:c r="N181" s="6"/>
      <x:c r="O181" s="6"/>
      <x:c r="P181" s="6"/>
      <x:c r="Q181" s="6"/>
    </x:row>
    <x:row r="182" ht="19" customHeight="1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  <x:c r="K182" s="6"/>
      <x:c r="L182" s="6"/>
      <x:c r="M182" s="6"/>
      <x:c r="N182" s="6"/>
      <x:c r="O182" s="6"/>
      <x:c r="P182" s="6"/>
      <x:c r="Q182" s="6"/>
    </x:row>
    <x:row r="183" ht="19" customHeight="1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  <x:c r="M183" s="6"/>
      <x:c r="N183" s="6"/>
      <x:c r="O183" s="6"/>
      <x:c r="P183" s="6"/>
      <x:c r="Q183" s="6"/>
    </x:row>
    <x:row r="184" ht="19" customHeight="1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  <x:c r="K184" s="6"/>
      <x:c r="L184" s="6"/>
      <x:c r="M184" s="6"/>
      <x:c r="N184" s="6"/>
      <x:c r="O184" s="6"/>
      <x:c r="P184" s="6"/>
      <x:c r="Q184" s="6"/>
    </x:row>
    <x:row r="185" ht="19" customHeight="1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  <x:c r="M185" s="6"/>
      <x:c r="N185" s="6"/>
      <x:c r="O185" s="6"/>
      <x:c r="P185" s="6"/>
      <x:c r="Q185" s="6"/>
    </x:row>
    <x:row r="186" ht="19" customHeight="1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  <x:c r="K186" s="6"/>
      <x:c r="L186" s="6"/>
      <x:c r="M186" s="6"/>
      <x:c r="N186" s="6"/>
      <x:c r="O186" s="6"/>
      <x:c r="P186" s="6"/>
      <x:c r="Q186" s="6"/>
    </x:row>
    <x:row r="187" ht="19" customHeight="1">
      <x:c r="A187" s="6"/>
      <x:c r="B187" s="6"/>
      <x:c r="C187" s="6"/>
      <x:c r="D187" s="6"/>
      <x:c r="E187" s="6"/>
      <x:c r="F187" s="6"/>
      <x:c r="G187" s="6"/>
      <x:c r="H187" s="6"/>
      <x:c r="I187" s="6"/>
      <x:c r="J187" s="6"/>
      <x:c r="K187" s="6"/>
      <x:c r="L187" s="6"/>
      <x:c r="M187" s="6"/>
      <x:c r="N187" s="6"/>
      <x:c r="O187" s="6"/>
      <x:c r="P187" s="6"/>
      <x:c r="Q187" s="6"/>
    </x:row>
    <x:row r="188" ht="19" customHeight="1">
      <x:c r="A188" s="6"/>
      <x:c r="B188" s="6"/>
      <x:c r="C188" s="6"/>
      <x:c r="D188" s="6"/>
      <x:c r="E188" s="6"/>
      <x:c r="F188" s="6"/>
      <x:c r="G188" s="6"/>
      <x:c r="H188" s="6"/>
      <x:c r="I188" s="6"/>
      <x:c r="J188" s="6"/>
      <x:c r="K188" s="6"/>
      <x:c r="L188" s="6"/>
      <x:c r="M188" s="6"/>
      <x:c r="N188" s="6"/>
      <x:c r="O188" s="6"/>
      <x:c r="P188" s="6"/>
      <x:c r="Q188" s="6"/>
    </x:row>
    <x:row r="189" ht="19" customHeight="1">
      <x:c r="A189" s="6"/>
      <x:c r="B189" s="6"/>
      <x:c r="C189" s="6"/>
      <x:c r="D189" s="6"/>
      <x:c r="E189" s="6"/>
      <x:c r="F189" s="6"/>
      <x:c r="G189" s="6"/>
      <x:c r="H189" s="6"/>
      <x:c r="I189" s="6"/>
      <x:c r="J189" s="6"/>
      <x:c r="K189" s="6"/>
      <x:c r="L189" s="6"/>
      <x:c r="M189" s="6"/>
      <x:c r="N189" s="6"/>
      <x:c r="O189" s="6"/>
      <x:c r="P189" s="6"/>
      <x:c r="Q189" s="6"/>
    </x:row>
    <x:row r="190" ht="19" customHeight="1">
      <x:c r="A190" s="6"/>
      <x:c r="B190" s="6"/>
      <x:c r="C190" s="6"/>
      <x:c r="D190" s="6"/>
      <x:c r="E190" s="6"/>
      <x:c r="F190" s="6"/>
      <x:c r="G190" s="6"/>
      <x:c r="H190" s="6"/>
      <x:c r="I190" s="6"/>
      <x:c r="J190" s="6"/>
      <x:c r="K190" s="6"/>
      <x:c r="L190" s="6"/>
      <x:c r="M190" s="6"/>
      <x:c r="N190" s="6"/>
      <x:c r="O190" s="6"/>
      <x:c r="P190" s="6"/>
      <x:c r="Q190" s="6"/>
    </x:row>
    <x:row r="191" ht="19" customHeight="1">
      <x:c r="A191" s="6"/>
      <x:c r="B191" s="6"/>
      <x:c r="C191" s="6"/>
      <x:c r="D191" s="6"/>
      <x:c r="E191" s="6"/>
      <x:c r="F191" s="6"/>
      <x:c r="G191" s="6"/>
      <x:c r="H191" s="6"/>
      <x:c r="I191" s="6"/>
      <x:c r="J191" s="6"/>
      <x:c r="K191" s="6"/>
      <x:c r="L191" s="6"/>
      <x:c r="M191" s="6"/>
      <x:c r="N191" s="6"/>
      <x:c r="O191" s="6"/>
      <x:c r="P191" s="6"/>
      <x:c r="Q191" s="6"/>
    </x:row>
    <x:row r="192" ht="19" customHeight="1">
      <x:c r="A192" s="6"/>
      <x:c r="B192" s="6"/>
      <x:c r="C192" s="6"/>
      <x:c r="D192" s="6"/>
      <x:c r="E192" s="6"/>
      <x:c r="F192" s="6"/>
      <x:c r="G192" s="6"/>
      <x:c r="H192" s="6"/>
      <x:c r="I192" s="6"/>
      <x:c r="J192" s="6"/>
      <x:c r="K192" s="6"/>
      <x:c r="L192" s="6"/>
      <x:c r="M192" s="6"/>
      <x:c r="N192" s="6"/>
      <x:c r="O192" s="6"/>
      <x:c r="P192" s="6"/>
      <x:c r="Q192" s="6"/>
    </x:row>
    <x:row r="193" ht="19" customHeight="1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  <x:c r="M193" s="6"/>
      <x:c r="N193" s="6"/>
      <x:c r="O193" s="6"/>
      <x:c r="P193" s="6"/>
      <x:c r="Q193" s="6"/>
    </x:row>
    <x:row r="194" ht="19" customHeight="1">
      <x:c r="A194" s="6"/>
      <x:c r="B194" s="6"/>
      <x:c r="C194" s="6"/>
      <x:c r="D194" s="6"/>
      <x:c r="E194" s="6"/>
      <x:c r="F194" s="6"/>
      <x:c r="G194" s="6"/>
      <x:c r="H194" s="6"/>
      <x:c r="I194" s="6"/>
      <x:c r="J194" s="6"/>
      <x:c r="K194" s="6"/>
      <x:c r="L194" s="6"/>
      <x:c r="M194" s="6"/>
      <x:c r="N194" s="6"/>
      <x:c r="O194" s="6"/>
      <x:c r="P194" s="6"/>
      <x:c r="Q194" s="6"/>
    </x:row>
    <x:row r="195" ht="19" customHeight="1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  <x:c r="M195" s="6"/>
      <x:c r="N195" s="6"/>
      <x:c r="O195" s="6"/>
      <x:c r="P195" s="6"/>
      <x:c r="Q195" s="6"/>
    </x:row>
    <x:row r="196" ht="19" customHeight="1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  <x:c r="K196" s="6"/>
      <x:c r="L196" s="6"/>
      <x:c r="M196" s="6"/>
      <x:c r="N196" s="6"/>
      <x:c r="O196" s="6"/>
      <x:c r="P196" s="6"/>
      <x:c r="Q196" s="6"/>
    </x:row>
    <x:row r="197" ht="19" customHeight="1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  <x:c r="K197" s="6"/>
      <x:c r="L197" s="6"/>
      <x:c r="M197" s="6"/>
      <x:c r="N197" s="6"/>
      <x:c r="O197" s="6"/>
      <x:c r="P197" s="6"/>
      <x:c r="Q197" s="6"/>
    </x:row>
    <x:row r="198" ht="19" customHeight="1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  <x:c r="K198" s="6"/>
      <x:c r="L198" s="6"/>
      <x:c r="M198" s="6"/>
      <x:c r="N198" s="6"/>
      <x:c r="O198" s="6"/>
      <x:c r="P198" s="6"/>
      <x:c r="Q198" s="6"/>
    </x:row>
    <x:row r="199" ht="19" customHeight="1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  <x:c r="K199" s="6"/>
      <x:c r="L199" s="6"/>
      <x:c r="M199" s="6"/>
      <x:c r="N199" s="6"/>
      <x:c r="O199" s="6"/>
      <x:c r="P199" s="6"/>
      <x:c r="Q199" s="6"/>
    </x:row>
    <x:row r="200" ht="19" customHeight="1">
      <x:c r="A200" s="6"/>
      <x:c r="B200" s="6"/>
      <x:c r="C200" s="6"/>
      <x:c r="D200" s="6"/>
      <x:c r="E200" s="6"/>
      <x:c r="F200" s="6"/>
      <x:c r="G200" s="6"/>
      <x:c r="H200" s="6"/>
      <x:c r="I200" s="6"/>
      <x:c r="J200" s="6"/>
      <x:c r="K200" s="6"/>
      <x:c r="L200" s="6"/>
      <x:c r="M200" s="6"/>
      <x:c r="N200" s="6"/>
      <x:c r="O200" s="6"/>
      <x:c r="P200" s="6"/>
      <x:c r="Q200" s="6"/>
    </x:row>
    <x:row r="201" ht="19" customHeight="1">
      <x:c r="A201" s="6"/>
      <x:c r="B201" s="6"/>
      <x:c r="C201" s="6"/>
      <x:c r="D201" s="6"/>
      <x:c r="E201" s="6"/>
      <x:c r="F201" s="6"/>
      <x:c r="G201" s="6"/>
      <x:c r="H201" s="6"/>
      <x:c r="I201" s="6"/>
      <x:c r="J201" s="6"/>
      <x:c r="K201" s="6"/>
      <x:c r="L201" s="6"/>
      <x:c r="M201" s="6"/>
      <x:c r="N201" s="6"/>
      <x:c r="O201" s="6"/>
      <x:c r="P201" s="6"/>
      <x:c r="Q201" s="6"/>
    </x:row>
    <x:row r="202" ht="19" customHeight="1">
      <x:c r="A202" s="6"/>
      <x:c r="B202" s="6"/>
      <x:c r="C202" s="6"/>
      <x:c r="D202" s="6"/>
      <x:c r="E202" s="6"/>
      <x:c r="F202" s="6"/>
      <x:c r="G202" s="6"/>
      <x:c r="H202" s="6"/>
      <x:c r="I202" s="6"/>
      <x:c r="J202" s="6"/>
      <x:c r="K202" s="6"/>
      <x:c r="L202" s="6"/>
      <x:c r="M202" s="6"/>
      <x:c r="N202" s="6"/>
      <x:c r="O202" s="6"/>
      <x:c r="P202" s="6"/>
      <x:c r="Q202" s="6"/>
    </x:row>
    <x:row r="203" ht="19" customHeight="1">
      <x:c r="A203" s="6"/>
      <x:c r="B203" s="6"/>
      <x:c r="C203" s="6"/>
      <x:c r="D203" s="6"/>
      <x:c r="E203" s="6"/>
      <x:c r="F203" s="6"/>
      <x:c r="G203" s="6"/>
      <x:c r="H203" s="6"/>
      <x:c r="I203" s="6"/>
      <x:c r="J203" s="6"/>
      <x:c r="K203" s="6"/>
      <x:c r="L203" s="6"/>
      <x:c r="M203" s="6"/>
      <x:c r="N203" s="6"/>
      <x:c r="O203" s="6"/>
      <x:c r="P203" s="6"/>
      <x:c r="Q203" s="6"/>
    </x:row>
    <x:row r="204" ht="19" customHeight="1">
      <x:c r="A204" s="6"/>
      <x:c r="B204" s="6"/>
      <x:c r="C204" s="6"/>
      <x:c r="D204" s="6"/>
      <x:c r="E204" s="6"/>
      <x:c r="F204" s="6"/>
      <x:c r="G204" s="6"/>
      <x:c r="H204" s="6"/>
      <x:c r="I204" s="6"/>
      <x:c r="J204" s="6"/>
      <x:c r="K204" s="6"/>
      <x:c r="L204" s="6"/>
      <x:c r="M204" s="6"/>
      <x:c r="N204" s="6"/>
      <x:c r="O204" s="6"/>
      <x:c r="P204" s="6"/>
      <x:c r="Q204" s="6"/>
    </x:row>
    <x:row r="205" ht="19" customHeight="1">
      <x:c r="A205" s="6"/>
      <x:c r="B205" s="6"/>
      <x:c r="C205" s="6"/>
      <x:c r="D205" s="6"/>
      <x:c r="E205" s="6"/>
      <x:c r="F205" s="6"/>
      <x:c r="G205" s="6"/>
      <x:c r="H205" s="6"/>
      <x:c r="I205" s="6"/>
      <x:c r="J205" s="6"/>
      <x:c r="K205" s="6"/>
      <x:c r="L205" s="6"/>
      <x:c r="M205" s="6"/>
      <x:c r="N205" s="6"/>
      <x:c r="O205" s="6"/>
      <x:c r="P205" s="6"/>
      <x:c r="Q205" s="6"/>
    </x:row>
    <x:row r="206" ht="19" customHeight="1">
      <x:c r="A206" s="6"/>
      <x:c r="B206" s="6"/>
      <x:c r="C206" s="6"/>
      <x:c r="D206" s="6"/>
      <x:c r="E206" s="6"/>
      <x:c r="F206" s="6"/>
      <x:c r="G206" s="6"/>
      <x:c r="H206" s="6"/>
      <x:c r="I206" s="6"/>
      <x:c r="J206" s="6"/>
      <x:c r="K206" s="6"/>
      <x:c r="L206" s="6"/>
      <x:c r="M206" s="6"/>
      <x:c r="N206" s="6"/>
      <x:c r="O206" s="6"/>
      <x:c r="P206" s="6"/>
      <x:c r="Q206" s="6"/>
    </x:row>
    <x:row r="207" ht="19" customHeight="1">
      <x:c r="A207" s="6"/>
      <x:c r="B207" s="6"/>
      <x:c r="C207" s="6"/>
      <x:c r="D207" s="6"/>
      <x:c r="E207" s="6"/>
      <x:c r="F207" s="6"/>
      <x:c r="G207" s="6"/>
      <x:c r="H207" s="6"/>
      <x:c r="I207" s="6"/>
      <x:c r="J207" s="6"/>
      <x:c r="K207" s="6"/>
      <x:c r="L207" s="6"/>
      <x:c r="M207" s="6"/>
      <x:c r="N207" s="6"/>
      <x:c r="O207" s="6"/>
      <x:c r="P207" s="6"/>
      <x:c r="Q207" s="6"/>
    </x:row>
    <x:row r="208" ht="19" customHeight="1">
      <x:c r="A208" s="6"/>
      <x:c r="B208" s="6"/>
      <x:c r="C208" s="6"/>
      <x:c r="D208" s="6"/>
      <x:c r="E208" s="6"/>
      <x:c r="F208" s="6"/>
      <x:c r="G208" s="6"/>
      <x:c r="H208" s="6"/>
      <x:c r="I208" s="6"/>
      <x:c r="J208" s="6"/>
      <x:c r="K208" s="6"/>
      <x:c r="L208" s="6"/>
      <x:c r="M208" s="6"/>
      <x:c r="N208" s="6"/>
      <x:c r="O208" s="6"/>
      <x:c r="P208" s="6"/>
      <x:c r="Q208" s="6"/>
    </x:row>
    <x:row r="209" ht="19" customHeight="1">
      <x:c r="A209" s="6"/>
      <x:c r="B209" s="6"/>
      <x:c r="C209" s="6"/>
      <x:c r="D209" s="6"/>
      <x:c r="E209" s="6"/>
      <x:c r="F209" s="6"/>
      <x:c r="G209" s="6"/>
      <x:c r="H209" s="6"/>
      <x:c r="I209" s="6"/>
      <x:c r="J209" s="6"/>
      <x:c r="K209" s="6"/>
      <x:c r="L209" s="6"/>
      <x:c r="M209" s="6"/>
      <x:c r="N209" s="6"/>
      <x:c r="O209" s="6"/>
      <x:c r="P209" s="6"/>
      <x:c r="Q209" s="6"/>
    </x:row>
    <x:row r="210" ht="19" customHeight="1">
      <x:c r="A210" s="6"/>
      <x:c r="B210" s="6"/>
      <x:c r="C210" s="6"/>
      <x:c r="D210" s="6"/>
      <x:c r="E210" s="6"/>
      <x:c r="F210" s="6"/>
      <x:c r="G210" s="6"/>
      <x:c r="H210" s="6"/>
      <x:c r="I210" s="6"/>
      <x:c r="J210" s="6"/>
      <x:c r="K210" s="6"/>
      <x:c r="L210" s="6"/>
      <x:c r="M210" s="6"/>
      <x:c r="N210" s="6"/>
      <x:c r="O210" s="6"/>
      <x:c r="P210" s="6"/>
      <x:c r="Q210" s="6"/>
    </x:row>
    <x:row r="211" ht="19" customHeight="1">
      <x:c r="A211" s="6"/>
      <x:c r="B211" s="6"/>
      <x:c r="C211" s="6"/>
      <x:c r="D211" s="6"/>
      <x:c r="E211" s="6"/>
      <x:c r="F211" s="6"/>
      <x:c r="G211" s="6"/>
      <x:c r="H211" s="6"/>
      <x:c r="I211" s="6"/>
      <x:c r="J211" s="6"/>
      <x:c r="K211" s="6"/>
      <x:c r="L211" s="6"/>
      <x:c r="M211" s="6"/>
      <x:c r="N211" s="6"/>
      <x:c r="O211" s="6"/>
      <x:c r="P211" s="6"/>
      <x:c r="Q211" s="6"/>
    </x:row>
    <x:row r="212" ht="19" customHeight="1">
      <x:c r="A212" s="6"/>
      <x:c r="B212" s="6"/>
      <x:c r="C212" s="6"/>
      <x:c r="D212" s="6"/>
      <x:c r="E212" s="6"/>
      <x:c r="F212" s="6"/>
      <x:c r="G212" s="6"/>
      <x:c r="H212" s="6"/>
      <x:c r="I212" s="6"/>
      <x:c r="J212" s="6"/>
      <x:c r="K212" s="6"/>
      <x:c r="L212" s="6"/>
      <x:c r="M212" s="6"/>
      <x:c r="N212" s="6"/>
      <x:c r="O212" s="6"/>
      <x:c r="P212" s="6"/>
      <x:c r="Q212" s="6"/>
    </x:row>
    <x:row r="213" ht="19" customHeight="1">
      <x:c r="A213" s="6"/>
      <x:c r="B213" s="6"/>
      <x:c r="C213" s="6"/>
      <x:c r="D213" s="6"/>
      <x:c r="E213" s="6"/>
      <x:c r="F213" s="6"/>
      <x:c r="G213" s="6"/>
      <x:c r="H213" s="6"/>
      <x:c r="I213" s="6"/>
      <x:c r="J213" s="6"/>
      <x:c r="K213" s="6"/>
      <x:c r="L213" s="6"/>
      <x:c r="M213" s="6"/>
      <x:c r="N213" s="6"/>
      <x:c r="O213" s="6"/>
      <x:c r="P213" s="6"/>
      <x:c r="Q213" s="6"/>
    </x:row>
    <x:row r="214" ht="19" customHeight="1">
      <x:c r="A214" s="6"/>
      <x:c r="B214" s="6"/>
      <x:c r="C214" s="6"/>
      <x:c r="D214" s="6"/>
      <x:c r="E214" s="6"/>
      <x:c r="F214" s="6"/>
      <x:c r="G214" s="6"/>
      <x:c r="H214" s="6"/>
      <x:c r="I214" s="6"/>
      <x:c r="J214" s="6"/>
      <x:c r="K214" s="6"/>
      <x:c r="L214" s="6"/>
      <x:c r="M214" s="6"/>
      <x:c r="N214" s="6"/>
      <x:c r="O214" s="6"/>
      <x:c r="P214" s="6"/>
      <x:c r="Q214" s="6"/>
    </x:row>
    <x:row r="215" ht="19" customHeight="1">
      <x:c r="A215" s="6"/>
      <x:c r="B215" s="6"/>
      <x:c r="C215" s="6"/>
      <x:c r="D215" s="6"/>
      <x:c r="E215" s="6"/>
      <x:c r="F215" s="6"/>
      <x:c r="G215" s="6"/>
      <x:c r="H215" s="6"/>
      <x:c r="I215" s="6"/>
      <x:c r="J215" s="6"/>
      <x:c r="K215" s="6"/>
      <x:c r="L215" s="6"/>
      <x:c r="M215" s="6"/>
      <x:c r="N215" s="6"/>
      <x:c r="O215" s="6"/>
      <x:c r="P215" s="6"/>
      <x:c r="Q215" s="6"/>
    </x:row>
    <x:row r="216" ht="19" customHeight="1">
      <x:c r="A216" s="6"/>
      <x:c r="B216" s="6"/>
      <x:c r="C216" s="6"/>
      <x:c r="D216" s="6"/>
      <x:c r="E216" s="6"/>
      <x:c r="F216" s="6"/>
      <x:c r="G216" s="6"/>
      <x:c r="H216" s="6"/>
      <x:c r="I216" s="6"/>
      <x:c r="J216" s="6"/>
      <x:c r="K216" s="6"/>
      <x:c r="L216" s="6"/>
      <x:c r="M216" s="6"/>
      <x:c r="N216" s="6"/>
      <x:c r="O216" s="6"/>
      <x:c r="P216" s="6"/>
      <x:c r="Q216" s="6"/>
    </x:row>
    <x:row r="217" ht="19" customHeight="1">
      <x:c r="A217" s="6"/>
      <x:c r="B217" s="6"/>
      <x:c r="C217" s="6"/>
      <x:c r="D217" s="6"/>
      <x:c r="E217" s="6"/>
      <x:c r="F217" s="6"/>
      <x:c r="G217" s="6"/>
      <x:c r="H217" s="6"/>
      <x:c r="I217" s="6"/>
      <x:c r="J217" s="6"/>
      <x:c r="K217" s="6"/>
      <x:c r="L217" s="6"/>
      <x:c r="M217" s="6"/>
      <x:c r="N217" s="6"/>
      <x:c r="O217" s="6"/>
      <x:c r="P217" s="6"/>
      <x:c r="Q217" s="6"/>
    </x:row>
    <x:row r="218" ht="19" customHeight="1">
      <x:c r="A218" s="6"/>
      <x:c r="B218" s="6"/>
      <x:c r="C218" s="6"/>
      <x:c r="D218" s="6"/>
      <x:c r="E218" s="6"/>
      <x:c r="F218" s="6"/>
      <x:c r="G218" s="6"/>
      <x:c r="H218" s="6"/>
      <x:c r="I218" s="6"/>
      <x:c r="J218" s="6"/>
      <x:c r="K218" s="6"/>
      <x:c r="L218" s="6"/>
      <x:c r="M218" s="6"/>
      <x:c r="N218" s="6"/>
      <x:c r="O218" s="6"/>
      <x:c r="P218" s="6"/>
      <x:c r="Q218" s="6"/>
    </x:row>
    <x:row r="219" ht="19" customHeight="1">
      <x:c r="A219" s="6"/>
      <x:c r="B219" s="6"/>
      <x:c r="C219" s="6"/>
      <x:c r="D219" s="6"/>
      <x:c r="E219" s="6"/>
      <x:c r="F219" s="6"/>
      <x:c r="G219" s="6"/>
      <x:c r="H219" s="6"/>
      <x:c r="I219" s="6"/>
      <x:c r="J219" s="6"/>
      <x:c r="K219" s="6"/>
      <x:c r="L219" s="6"/>
      <x:c r="M219" s="6"/>
      <x:c r="N219" s="6"/>
      <x:c r="O219" s="6"/>
      <x:c r="P219" s="6"/>
      <x:c r="Q219" s="6"/>
    </x:row>
    <x:row r="220" ht="19" customHeight="1">
      <x:c r="A220" s="6"/>
      <x:c r="B220" s="6"/>
      <x:c r="C220" s="6"/>
      <x:c r="D220" s="6"/>
      <x:c r="E220" s="6"/>
      <x:c r="F220" s="6"/>
      <x:c r="G220" s="6"/>
      <x:c r="H220" s="6"/>
      <x:c r="I220" s="6"/>
      <x:c r="J220" s="6"/>
      <x:c r="K220" s="6"/>
      <x:c r="L220" s="6"/>
      <x:c r="M220" s="6"/>
      <x:c r="N220" s="6"/>
      <x:c r="O220" s="6"/>
      <x:c r="P220" s="6"/>
      <x:c r="Q220" s="6"/>
    </x:row>
    <x:row r="221" ht="19" customHeight="1">
      <x:c r="A221" s="6"/>
      <x:c r="B221" s="6"/>
      <x:c r="C221" s="6"/>
      <x:c r="D221" s="6"/>
      <x:c r="E221" s="6"/>
      <x:c r="F221" s="6"/>
      <x:c r="G221" s="6"/>
      <x:c r="H221" s="6"/>
      <x:c r="I221" s="6"/>
      <x:c r="J221" s="6"/>
      <x:c r="K221" s="6"/>
      <x:c r="L221" s="6"/>
      <x:c r="M221" s="6"/>
      <x:c r="N221" s="6"/>
      <x:c r="O221" s="6"/>
      <x:c r="P221" s="6"/>
      <x:c r="Q221" s="6"/>
    </x:row>
    <x:row r="222" ht="19" customHeight="1">
      <x:c r="A222" s="6"/>
      <x:c r="B222" s="6"/>
      <x:c r="C222" s="6"/>
      <x:c r="D222" s="6"/>
      <x:c r="E222" s="6"/>
      <x:c r="F222" s="6"/>
      <x:c r="G222" s="6"/>
      <x:c r="H222" s="6"/>
      <x:c r="I222" s="6"/>
      <x:c r="J222" s="6"/>
      <x:c r="K222" s="6"/>
      <x:c r="L222" s="6"/>
      <x:c r="M222" s="6"/>
      <x:c r="N222" s="6"/>
      <x:c r="O222" s="6"/>
      <x:c r="P222" s="6"/>
      <x:c r="Q222" s="6"/>
    </x:row>
    <x:row r="223" ht="19" customHeight="1">
      <x:c r="A223" s="6"/>
      <x:c r="B223" s="6"/>
      <x:c r="C223" s="6"/>
      <x:c r="D223" s="6"/>
      <x:c r="E223" s="6"/>
      <x:c r="F223" s="6"/>
      <x:c r="G223" s="6"/>
      <x:c r="H223" s="6"/>
      <x:c r="I223" s="6"/>
      <x:c r="J223" s="6"/>
      <x:c r="K223" s="6"/>
      <x:c r="L223" s="6"/>
      <x:c r="M223" s="6"/>
      <x:c r="N223" s="6"/>
      <x:c r="O223" s="6"/>
      <x:c r="P223" s="6"/>
      <x:c r="Q223" s="6"/>
    </x:row>
    <x:row r="224" ht="19" customHeight="1">
      <x:c r="A224" s="6"/>
      <x:c r="B224" s="6"/>
      <x:c r="C224" s="6"/>
      <x:c r="D224" s="6"/>
      <x:c r="E224" s="6"/>
      <x:c r="F224" s="6"/>
      <x:c r="G224" s="6"/>
      <x:c r="H224" s="6"/>
      <x:c r="I224" s="6"/>
      <x:c r="J224" s="6"/>
      <x:c r="K224" s="6"/>
      <x:c r="L224" s="6"/>
      <x:c r="M224" s="6"/>
      <x:c r="N224" s="6"/>
      <x:c r="O224" s="6"/>
      <x:c r="P224" s="6"/>
      <x:c r="Q224" s="6"/>
    </x:row>
    <x:row r="225" ht="19" customHeight="1">
      <x:c r="A225" s="6"/>
      <x:c r="B225" s="6"/>
      <x:c r="C225" s="6"/>
      <x:c r="D225" s="6"/>
      <x:c r="E225" s="6"/>
      <x:c r="F225" s="6"/>
      <x:c r="G225" s="6"/>
      <x:c r="H225" s="6"/>
      <x:c r="I225" s="6"/>
      <x:c r="J225" s="6"/>
      <x:c r="K225" s="6"/>
      <x:c r="L225" s="6"/>
      <x:c r="M225" s="6"/>
      <x:c r="N225" s="6"/>
      <x:c r="O225" s="6"/>
      <x:c r="P225" s="6"/>
      <x:c r="Q225" s="6"/>
    </x:row>
    <x:row r="226" ht="19" customHeight="1">
      <x:c r="A226" s="6"/>
      <x:c r="B226" s="6"/>
      <x:c r="C226" s="6"/>
      <x:c r="D226" s="6"/>
      <x:c r="E226" s="6"/>
      <x:c r="F226" s="6"/>
      <x:c r="G226" s="6"/>
      <x:c r="H226" s="6"/>
      <x:c r="I226" s="6"/>
      <x:c r="J226" s="6"/>
      <x:c r="K226" s="6"/>
      <x:c r="L226" s="6"/>
      <x:c r="M226" s="6"/>
      <x:c r="N226" s="6"/>
      <x:c r="O226" s="6"/>
      <x:c r="P226" s="6"/>
      <x:c r="Q226" s="6"/>
    </x:row>
    <x:row r="227" ht="19" customHeight="1">
      <x:c r="A227" s="6"/>
      <x:c r="B227" s="6"/>
      <x:c r="C227" s="6"/>
      <x:c r="D227" s="6"/>
      <x:c r="E227" s="6"/>
      <x:c r="F227" s="6"/>
      <x:c r="G227" s="6"/>
      <x:c r="H227" s="6"/>
      <x:c r="I227" s="6"/>
      <x:c r="J227" s="6"/>
      <x:c r="K227" s="6"/>
      <x:c r="L227" s="6"/>
      <x:c r="M227" s="6"/>
      <x:c r="N227" s="6"/>
      <x:c r="O227" s="6"/>
      <x:c r="P227" s="6"/>
      <x:c r="Q227" s="6"/>
    </x:row>
    <x:row r="228" ht="19" customHeight="1">
      <x:c r="A228" s="6"/>
      <x:c r="B228" s="6"/>
      <x:c r="C228" s="6"/>
      <x:c r="D228" s="6"/>
      <x:c r="E228" s="6"/>
      <x:c r="F228" s="6"/>
      <x:c r="G228" s="6"/>
      <x:c r="H228" s="6"/>
      <x:c r="I228" s="6"/>
      <x:c r="J228" s="6"/>
      <x:c r="K228" s="6"/>
      <x:c r="L228" s="6"/>
      <x:c r="M228" s="6"/>
      <x:c r="N228" s="6"/>
      <x:c r="O228" s="6"/>
      <x:c r="P228" s="6"/>
      <x:c r="Q228" s="6"/>
    </x:row>
    <x:row r="229" ht="19" customHeight="1">
      <x:c r="A229" s="6"/>
      <x:c r="B229" s="6"/>
      <x:c r="C229" s="6"/>
      <x:c r="D229" s="6"/>
      <x:c r="E229" s="6"/>
      <x:c r="F229" s="6"/>
      <x:c r="G229" s="6"/>
      <x:c r="H229" s="6"/>
      <x:c r="I229" s="6"/>
      <x:c r="J229" s="6"/>
      <x:c r="K229" s="6"/>
      <x:c r="L229" s="6"/>
      <x:c r="M229" s="6"/>
      <x:c r="N229" s="6"/>
      <x:c r="O229" s="6"/>
      <x:c r="P229" s="6"/>
      <x:c r="Q229" s="6"/>
    </x:row>
    <x:row r="230" ht="19" customHeight="1">
      <x:c r="A230" s="6"/>
      <x:c r="B230" s="6"/>
      <x:c r="C230" s="6"/>
      <x:c r="D230" s="6"/>
      <x:c r="E230" s="6"/>
      <x:c r="F230" s="6"/>
      <x:c r="G230" s="6"/>
      <x:c r="H230" s="6"/>
      <x:c r="I230" s="6"/>
      <x:c r="J230" s="6"/>
      <x:c r="K230" s="6"/>
      <x:c r="L230" s="6"/>
      <x:c r="M230" s="6"/>
      <x:c r="N230" s="6"/>
      <x:c r="O230" s="6"/>
      <x:c r="P230" s="6"/>
      <x:c r="Q230" s="6"/>
    </x:row>
    <x:row r="231" ht="19" customHeight="1">
      <x:c r="A231" s="6"/>
      <x:c r="B231" s="6"/>
      <x:c r="C231" s="6"/>
      <x:c r="D231" s="6"/>
      <x:c r="E231" s="6"/>
      <x:c r="F231" s="6"/>
      <x:c r="G231" s="6"/>
      <x:c r="H231" s="6"/>
      <x:c r="I231" s="6"/>
      <x:c r="J231" s="6"/>
      <x:c r="K231" s="6"/>
      <x:c r="L231" s="6"/>
      <x:c r="M231" s="6"/>
      <x:c r="N231" s="6"/>
      <x:c r="O231" s="6"/>
      <x:c r="P231" s="6"/>
      <x:c r="Q231" s="6"/>
    </x:row>
    <x:row r="232" ht="19" customHeight="1">
      <x:c r="A232" s="6"/>
      <x:c r="B232" s="6"/>
      <x:c r="C232" s="6"/>
      <x:c r="D232" s="6"/>
      <x:c r="E232" s="6"/>
      <x:c r="F232" s="6"/>
      <x:c r="G232" s="6"/>
      <x:c r="H232" s="6"/>
      <x:c r="I232" s="6"/>
      <x:c r="J232" s="6"/>
      <x:c r="K232" s="6"/>
      <x:c r="L232" s="6"/>
      <x:c r="M232" s="6"/>
      <x:c r="N232" s="6"/>
      <x:c r="O232" s="6"/>
      <x:c r="P232" s="6"/>
      <x:c r="Q232" s="6"/>
    </x:row>
    <x:row r="233" ht="19" customHeight="1">
      <x:c r="A233" s="6"/>
      <x:c r="B233" s="6"/>
      <x:c r="C233" s="6"/>
      <x:c r="D233" s="6"/>
      <x:c r="E233" s="6"/>
      <x:c r="F233" s="6"/>
      <x:c r="G233" s="6"/>
      <x:c r="H233" s="6"/>
      <x:c r="I233" s="6"/>
      <x:c r="J233" s="6"/>
      <x:c r="K233" s="6"/>
      <x:c r="L233" s="6"/>
      <x:c r="M233" s="6"/>
      <x:c r="N233" s="6"/>
      <x:c r="O233" s="6"/>
      <x:c r="P233" s="6"/>
      <x:c r="Q233" s="6"/>
    </x:row>
    <x:row r="234" ht="19" customHeight="1">
      <x:c r="A234" s="6"/>
      <x:c r="B234" s="6"/>
      <x:c r="C234" s="6"/>
      <x:c r="D234" s="6"/>
      <x:c r="E234" s="6"/>
      <x:c r="F234" s="6"/>
      <x:c r="G234" s="6"/>
      <x:c r="H234" s="6"/>
      <x:c r="I234" s="6"/>
      <x:c r="J234" s="6"/>
      <x:c r="K234" s="6"/>
      <x:c r="L234" s="6"/>
      <x:c r="M234" s="6"/>
      <x:c r="N234" s="6"/>
      <x:c r="O234" s="6"/>
      <x:c r="P234" s="6"/>
      <x:c r="Q234" s="6"/>
    </x:row>
    <x:row r="235" ht="19" customHeight="1">
      <x:c r="A235" s="6"/>
      <x:c r="B235" s="6"/>
      <x:c r="C235" s="6"/>
      <x:c r="D235" s="6"/>
      <x:c r="E235" s="6"/>
      <x:c r="F235" s="6"/>
      <x:c r="G235" s="6"/>
      <x:c r="H235" s="6"/>
      <x:c r="I235" s="6"/>
      <x:c r="J235" s="6"/>
      <x:c r="K235" s="6"/>
      <x:c r="L235" s="6"/>
      <x:c r="M235" s="6"/>
      <x:c r="N235" s="6"/>
      <x:c r="O235" s="6"/>
      <x:c r="P235" s="6"/>
      <x:c r="Q235" s="6"/>
    </x:row>
    <x:row r="236" ht="19" customHeight="1">
      <x:c r="A236" s="6"/>
      <x:c r="B236" s="6"/>
      <x:c r="C236" s="6"/>
      <x:c r="D236" s="6"/>
      <x:c r="E236" s="6"/>
      <x:c r="F236" s="6"/>
      <x:c r="G236" s="6"/>
      <x:c r="H236" s="6"/>
      <x:c r="I236" s="6"/>
      <x:c r="J236" s="6"/>
      <x:c r="K236" s="6"/>
      <x:c r="L236" s="6"/>
      <x:c r="M236" s="6"/>
      <x:c r="N236" s="6"/>
      <x:c r="O236" s="6"/>
      <x:c r="P236" s="6"/>
      <x:c r="Q236" s="6"/>
    </x:row>
    <x:row r="237" ht="19" customHeight="1">
      <x:c r="A237" s="6"/>
      <x:c r="B237" s="6"/>
      <x:c r="C237" s="6"/>
      <x:c r="D237" s="6"/>
      <x:c r="E237" s="6"/>
      <x:c r="F237" s="6"/>
      <x:c r="G237" s="6"/>
      <x:c r="H237" s="6"/>
      <x:c r="I237" s="6"/>
      <x:c r="J237" s="6"/>
      <x:c r="K237" s="6"/>
      <x:c r="L237" s="6"/>
      <x:c r="M237" s="6"/>
      <x:c r="N237" s="6"/>
      <x:c r="O237" s="6"/>
      <x:c r="P237" s="6"/>
      <x:c r="Q237" s="6"/>
    </x:row>
    <x:row r="238" ht="19" customHeight="1">
      <x:c r="A238" s="6"/>
      <x:c r="B238" s="6"/>
      <x:c r="C238" s="6"/>
      <x:c r="D238" s="6"/>
      <x:c r="E238" s="6"/>
      <x:c r="F238" s="6"/>
      <x:c r="G238" s="6"/>
      <x:c r="H238" s="6"/>
      <x:c r="I238" s="6"/>
      <x:c r="J238" s="6"/>
      <x:c r="K238" s="6"/>
      <x:c r="L238" s="6"/>
      <x:c r="M238" s="6"/>
      <x:c r="N238" s="6"/>
      <x:c r="O238" s="6"/>
      <x:c r="P238" s="6"/>
      <x:c r="Q238" s="6"/>
    </x:row>
    <x:row r="239" ht="19" customHeight="1">
      <x:c r="A239" s="6"/>
      <x:c r="B239" s="6"/>
      <x:c r="C239" s="6"/>
      <x:c r="D239" s="6"/>
      <x:c r="E239" s="6"/>
      <x:c r="F239" s="6"/>
      <x:c r="G239" s="6"/>
      <x:c r="H239" s="6"/>
      <x:c r="I239" s="6"/>
      <x:c r="J239" s="6"/>
      <x:c r="K239" s="6"/>
      <x:c r="L239" s="6"/>
      <x:c r="M239" s="6"/>
      <x:c r="N239" s="6"/>
      <x:c r="O239" s="6"/>
      <x:c r="P239" s="6"/>
      <x:c r="Q239" s="6"/>
    </x:row>
    <x:row r="240" ht="19" customHeight="1">
      <x:c r="A240" s="6"/>
      <x:c r="B240" s="6"/>
      <x:c r="C240" s="6"/>
      <x:c r="D240" s="6"/>
      <x:c r="E240" s="6"/>
      <x:c r="F240" s="6"/>
      <x:c r="G240" s="6"/>
      <x:c r="H240" s="6"/>
      <x:c r="I240" s="6"/>
      <x:c r="J240" s="6"/>
      <x:c r="K240" s="6"/>
      <x:c r="L240" s="6"/>
      <x:c r="M240" s="6"/>
      <x:c r="N240" s="6"/>
      <x:c r="O240" s="6"/>
      <x:c r="P240" s="6"/>
      <x:c r="Q240" s="6"/>
    </x:row>
    <x:row r="241" ht="19" customHeight="1">
      <x:c r="A241" s="6"/>
      <x:c r="B241" s="6"/>
      <x:c r="C241" s="6"/>
      <x:c r="D241" s="6"/>
      <x:c r="E241" s="6"/>
      <x:c r="F241" s="6"/>
      <x:c r="G241" s="6"/>
      <x:c r="H241" s="6"/>
      <x:c r="I241" s="6"/>
      <x:c r="J241" s="6"/>
      <x:c r="K241" s="6"/>
      <x:c r="L241" s="6"/>
      <x:c r="M241" s="6"/>
      <x:c r="N241" s="6"/>
      <x:c r="O241" s="6"/>
      <x:c r="P241" s="6"/>
      <x:c r="Q241" s="6"/>
    </x:row>
    <x:row r="242" ht="19" customHeight="1">
      <x:c r="A242" s="6"/>
      <x:c r="B242" s="6"/>
      <x:c r="C242" s="6"/>
      <x:c r="D242" s="6"/>
      <x:c r="E242" s="6"/>
      <x:c r="F242" s="6"/>
      <x:c r="G242" s="6"/>
      <x:c r="H242" s="6"/>
      <x:c r="I242" s="6"/>
      <x:c r="J242" s="6"/>
      <x:c r="K242" s="6"/>
      <x:c r="L242" s="6"/>
      <x:c r="M242" s="6"/>
      <x:c r="N242" s="6"/>
      <x:c r="O242" s="6"/>
      <x:c r="P242" s="6"/>
      <x:c r="Q242" s="6"/>
    </x:row>
    <x:row r="243" ht="19" customHeight="1">
      <x:c r="A243" s="6"/>
      <x:c r="B243" s="6"/>
      <x:c r="C243" s="6"/>
      <x:c r="D243" s="6"/>
      <x:c r="E243" s="6"/>
      <x:c r="F243" s="6"/>
      <x:c r="G243" s="6"/>
      <x:c r="H243" s="6"/>
      <x:c r="I243" s="6"/>
      <x:c r="J243" s="6"/>
      <x:c r="K243" s="6"/>
      <x:c r="L243" s="6"/>
      <x:c r="M243" s="6"/>
      <x:c r="N243" s="6"/>
      <x:c r="O243" s="6"/>
      <x:c r="P243" s="6"/>
      <x:c r="Q243" s="6"/>
    </x:row>
    <x:row r="244" ht="19" customHeight="1">
      <x:c r="A244" s="6"/>
      <x:c r="B244" s="6"/>
      <x:c r="C244" s="6"/>
      <x:c r="D244" s="6"/>
      <x:c r="E244" s="6"/>
      <x:c r="F244" s="6"/>
      <x:c r="G244" s="6"/>
      <x:c r="H244" s="6"/>
      <x:c r="I244" s="6"/>
      <x:c r="J244" s="6"/>
      <x:c r="K244" s="6"/>
      <x:c r="L244" s="6"/>
      <x:c r="M244" s="6"/>
      <x:c r="N244" s="6"/>
      <x:c r="O244" s="6"/>
      <x:c r="P244" s="6"/>
      <x:c r="Q244" s="6"/>
    </x:row>
    <x:row r="245" ht="19" customHeight="1">
      <x:c r="A245" s="6"/>
      <x:c r="B245" s="6"/>
      <x:c r="C245" s="6"/>
      <x:c r="D245" s="6"/>
      <x:c r="E245" s="6"/>
      <x:c r="F245" s="6"/>
      <x:c r="G245" s="6"/>
      <x:c r="H245" s="6"/>
      <x:c r="I245" s="6"/>
      <x:c r="J245" s="6"/>
      <x:c r="K245" s="6"/>
      <x:c r="L245" s="6"/>
      <x:c r="M245" s="6"/>
      <x:c r="N245" s="6"/>
      <x:c r="O245" s="6"/>
      <x:c r="P245" s="6"/>
      <x:c r="Q245" s="6"/>
    </x:row>
    <x:row r="246" ht="19" customHeight="1">
      <x:c r="A246" s="6"/>
      <x:c r="B246" s="6"/>
      <x:c r="C246" s="6"/>
      <x:c r="D246" s="6"/>
      <x:c r="E246" s="6"/>
      <x:c r="F246" s="6"/>
      <x:c r="G246" s="6"/>
      <x:c r="H246" s="6"/>
      <x:c r="I246" s="6"/>
      <x:c r="J246" s="6"/>
      <x:c r="K246" s="6"/>
      <x:c r="L246" s="6"/>
      <x:c r="M246" s="6"/>
      <x:c r="N246" s="6"/>
      <x:c r="O246" s="6"/>
      <x:c r="P246" s="6"/>
      <x:c r="Q246" s="6"/>
    </x:row>
    <x:row r="247" ht="19" customHeight="1">
      <x:c r="A247" s="6"/>
      <x:c r="B247" s="6"/>
      <x:c r="C247" s="6"/>
      <x:c r="D247" s="6"/>
      <x:c r="E247" s="6"/>
      <x:c r="F247" s="6"/>
      <x:c r="G247" s="6"/>
      <x:c r="H247" s="6"/>
      <x:c r="I247" s="6"/>
      <x:c r="J247" s="6"/>
      <x:c r="K247" s="6"/>
      <x:c r="L247" s="6"/>
      <x:c r="M247" s="6"/>
      <x:c r="N247" s="6"/>
      <x:c r="O247" s="6"/>
      <x:c r="P247" s="6"/>
      <x:c r="Q247" s="6"/>
    </x:row>
    <x:row r="248" ht="19" customHeight="1">
      <x:c r="A248" s="6"/>
      <x:c r="B248" s="6"/>
      <x:c r="C248" s="6"/>
      <x:c r="D248" s="6"/>
      <x:c r="E248" s="6"/>
      <x:c r="F248" s="6"/>
      <x:c r="G248" s="6"/>
      <x:c r="H248" s="6"/>
      <x:c r="I248" s="6"/>
      <x:c r="J248" s="6"/>
      <x:c r="K248" s="6"/>
      <x:c r="L248" s="6"/>
      <x:c r="M248" s="6"/>
      <x:c r="N248" s="6"/>
      <x:c r="O248" s="6"/>
      <x:c r="P248" s="6"/>
      <x:c r="Q248" s="6"/>
    </x:row>
    <x:row r="249" ht="19" customHeight="1">
      <x:c r="A249" s="6"/>
      <x:c r="B249" s="6"/>
      <x:c r="C249" s="6"/>
      <x:c r="D249" s="6"/>
      <x:c r="E249" s="6"/>
      <x:c r="F249" s="6"/>
      <x:c r="G249" s="6"/>
      <x:c r="H249" s="6"/>
      <x:c r="I249" s="6"/>
      <x:c r="J249" s="6"/>
      <x:c r="K249" s="6"/>
      <x:c r="L249" s="6"/>
      <x:c r="M249" s="6"/>
      <x:c r="N249" s="6"/>
      <x:c r="O249" s="6"/>
      <x:c r="P249" s="6"/>
      <x:c r="Q249" s="6"/>
    </x:row>
    <x:row r="250" ht="19" customHeight="1">
      <x:c r="A250" s="6"/>
      <x:c r="B250" s="6"/>
      <x:c r="C250" s="6"/>
      <x:c r="D250" s="6"/>
      <x:c r="E250" s="6"/>
      <x:c r="F250" s="6"/>
      <x:c r="G250" s="6"/>
      <x:c r="H250" s="6"/>
      <x:c r="I250" s="6"/>
      <x:c r="J250" s="6"/>
      <x:c r="K250" s="6"/>
      <x:c r="L250" s="6"/>
      <x:c r="M250" s="6"/>
      <x:c r="N250" s="6"/>
      <x:c r="O250" s="6"/>
      <x:c r="P250" s="6"/>
      <x:c r="Q250" s="6"/>
    </x:row>
    <x:row r="251" ht="19" customHeight="1">
      <x:c r="A251" s="6"/>
      <x:c r="B251" s="6"/>
      <x:c r="C251" s="6"/>
      <x:c r="D251" s="6"/>
      <x:c r="E251" s="6"/>
      <x:c r="F251" s="6"/>
      <x:c r="G251" s="6"/>
      <x:c r="H251" s="6"/>
      <x:c r="I251" s="6"/>
      <x:c r="J251" s="6"/>
      <x:c r="K251" s="6"/>
      <x:c r="L251" s="6"/>
      <x:c r="M251" s="6"/>
      <x:c r="N251" s="6"/>
      <x:c r="O251" s="6"/>
      <x:c r="P251" s="6"/>
      <x:c r="Q251" s="6"/>
    </x:row>
    <x:row r="252" ht="19" customHeight="1">
      <x:c r="A252" s="6"/>
      <x:c r="B252" s="6"/>
      <x:c r="C252" s="6"/>
      <x:c r="D252" s="6"/>
      <x:c r="E252" s="6"/>
      <x:c r="F252" s="6"/>
      <x:c r="G252" s="6"/>
      <x:c r="H252" s="6"/>
      <x:c r="I252" s="6"/>
      <x:c r="J252" s="6"/>
      <x:c r="K252" s="6"/>
      <x:c r="L252" s="6"/>
      <x:c r="M252" s="6"/>
      <x:c r="N252" s="6"/>
      <x:c r="O252" s="6"/>
      <x:c r="P252" s="6"/>
      <x:c r="Q252" s="6"/>
    </x:row>
    <x:row r="253" ht="19" customHeight="1">
      <x:c r="A253" s="6"/>
      <x:c r="B253" s="6"/>
      <x:c r="C253" s="6"/>
      <x:c r="D253" s="6"/>
      <x:c r="E253" s="6"/>
      <x:c r="F253" s="6"/>
      <x:c r="G253" s="6"/>
      <x:c r="H253" s="6"/>
      <x:c r="I253" s="6"/>
      <x:c r="J253" s="6"/>
      <x:c r="K253" s="6"/>
      <x:c r="L253" s="6"/>
      <x:c r="M253" s="6"/>
      <x:c r="N253" s="6"/>
      <x:c r="O253" s="6"/>
      <x:c r="P253" s="6"/>
      <x:c r="Q253" s="6"/>
    </x:row>
    <x:row r="254" ht="19" customHeight="1">
      <x:c r="A254" s="6"/>
      <x:c r="B254" s="6"/>
      <x:c r="C254" s="6"/>
      <x:c r="D254" s="6"/>
      <x:c r="E254" s="6"/>
      <x:c r="F254" s="6"/>
      <x:c r="G254" s="6"/>
      <x:c r="H254" s="6"/>
      <x:c r="I254" s="6"/>
      <x:c r="J254" s="6"/>
      <x:c r="K254" s="6"/>
      <x:c r="L254" s="6"/>
      <x:c r="M254" s="6"/>
      <x:c r="N254" s="6"/>
      <x:c r="O254" s="6"/>
      <x:c r="P254" s="6"/>
      <x:c r="Q254" s="6"/>
    </x:row>
    <x:row r="255" ht="19" customHeight="1">
      <x:c r="A255" s="6"/>
      <x:c r="B255" s="6"/>
      <x:c r="C255" s="6"/>
      <x:c r="D255" s="6"/>
      <x:c r="E255" s="6"/>
      <x:c r="F255" s="6"/>
      <x:c r="G255" s="6"/>
      <x:c r="H255" s="6"/>
      <x:c r="I255" s="6"/>
      <x:c r="J255" s="6"/>
      <x:c r="K255" s="6"/>
      <x:c r="L255" s="6"/>
      <x:c r="M255" s="6"/>
      <x:c r="N255" s="6"/>
      <x:c r="O255" s="6"/>
      <x:c r="P255" s="6"/>
      <x:c r="Q255" s="6"/>
    </x:row>
    <x:row r="256" ht="19" customHeight="1">
      <x:c r="A256" s="6"/>
      <x:c r="B256" s="6"/>
      <x:c r="C256" s="6"/>
      <x:c r="D256" s="6"/>
      <x:c r="E256" s="6"/>
      <x:c r="F256" s="6"/>
      <x:c r="G256" s="6"/>
      <x:c r="H256" s="6"/>
      <x:c r="I256" s="6"/>
      <x:c r="J256" s="6"/>
      <x:c r="K256" s="6"/>
      <x:c r="L256" s="6"/>
      <x:c r="M256" s="6"/>
      <x:c r="N256" s="6"/>
      <x:c r="O256" s="6"/>
      <x:c r="P256" s="6"/>
      <x:c r="Q256" s="6"/>
    </x:row>
    <x:row r="257" ht="19" customHeight="1">
      <x:c r="A257" s="6"/>
      <x:c r="B257" s="6"/>
      <x:c r="C257" s="6"/>
      <x:c r="D257" s="6"/>
      <x:c r="E257" s="6"/>
      <x:c r="F257" s="6"/>
      <x:c r="G257" s="6"/>
      <x:c r="H257" s="6"/>
      <x:c r="I257" s="6"/>
      <x:c r="J257" s="6"/>
      <x:c r="K257" s="6"/>
      <x:c r="L257" s="6"/>
      <x:c r="M257" s="6"/>
      <x:c r="N257" s="6"/>
      <x:c r="O257" s="6"/>
      <x:c r="P257" s="6"/>
      <x:c r="Q257" s="6"/>
    </x:row>
    <x:row r="258" ht="19" customHeight="1">
      <x:c r="A258" s="6"/>
      <x:c r="B258" s="6"/>
      <x:c r="C258" s="6"/>
      <x:c r="D258" s="6"/>
      <x:c r="E258" s="6"/>
      <x:c r="F258" s="6"/>
      <x:c r="G258" s="6"/>
      <x:c r="H258" s="6"/>
      <x:c r="I258" s="6"/>
      <x:c r="J258" s="6"/>
      <x:c r="K258" s="6"/>
      <x:c r="L258" s="6"/>
      <x:c r="M258" s="6"/>
      <x:c r="N258" s="6"/>
      <x:c r="O258" s="6"/>
      <x:c r="P258" s="6"/>
      <x:c r="Q258" s="6"/>
    </x:row>
    <x:row r="259" ht="19" customHeight="1">
      <x:c r="A259" s="6"/>
      <x:c r="B259" s="6"/>
      <x:c r="C259" s="6"/>
      <x:c r="D259" s="6"/>
      <x:c r="E259" s="6"/>
      <x:c r="F259" s="6"/>
      <x:c r="G259" s="6"/>
      <x:c r="H259" s="6"/>
      <x:c r="I259" s="6"/>
      <x:c r="J259" s="6"/>
      <x:c r="K259" s="6"/>
      <x:c r="L259" s="6"/>
      <x:c r="M259" s="6"/>
      <x:c r="N259" s="6"/>
      <x:c r="O259" s="6"/>
      <x:c r="P259" s="6"/>
      <x:c r="Q259" s="6"/>
    </x:row>
    <x:row r="260" ht="19" customHeight="1">
      <x:c r="A260" s="6"/>
      <x:c r="B260" s="6"/>
      <x:c r="C260" s="6"/>
      <x:c r="D260" s="6"/>
      <x:c r="E260" s="6"/>
      <x:c r="F260" s="6"/>
      <x:c r="G260" s="6"/>
      <x:c r="H260" s="6"/>
      <x:c r="I260" s="6"/>
      <x:c r="J260" s="6"/>
      <x:c r="K260" s="6"/>
      <x:c r="L260" s="6"/>
      <x:c r="M260" s="6"/>
      <x:c r="N260" s="6"/>
      <x:c r="O260" s="6"/>
      <x:c r="P260" s="6"/>
      <x:c r="Q260" s="6"/>
    </x:row>
  </x:sheetData>
  <x:mergeCells>
    <x:mergeCell ref="A1:I2"/>
    <x:mergeCell ref="A3:I3"/>
    <x:mergeCell ref="A11:I11"/>
    <x:mergeCell ref="A20:I20"/>
    <x:mergeCell ref="A29:I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47" hidden="0" customWidth="1"/>
    <x:col min="3" max="3" width="18" hidden="0" customWidth="1"/>
    <x:col min="4" max="4" width="18" hidden="0" customWidth="1"/>
    <x:col min="5" max="5" width="15" hidden="0" customWidth="1"/>
    <x:col min="6" max="6" width="15" hidden="0" customWidth="1"/>
    <x:col min="7" max="7" width="15" hidden="0" customWidth="1"/>
    <x:col min="8" max="8" width="17" hidden="0" customWidth="1"/>
    <x:col min="9" max="9" width="14" hidden="0" customWidth="1"/>
    <x:col min="10" max="10" width="31" hidden="0" customWidth="1"/>
  </x:cols>
  <x:sheetData>
    <x:row r="1" ht="24" customHeight="1">
      <x:c r="A1" s="10" t="str">
        <x:v>Декомпозиция работ фазы 1 — ПЛАН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6"/>
      <x:c r="L1" s="6"/>
      <x:c r="M1" s="6"/>
      <x:c r="N1" s="6"/>
      <x:c r="O1" s="6"/>
      <x:c r="P1" s="6"/>
      <x:c r="Q1" s="6"/>
    </x:row>
    <x:row r="2" ht="24" customHeight="1">
      <x:c r="A2" s="10"/>
      <x:c r="B2" s="10"/>
      <x:c r="C2" s="10"/>
      <x:c r="D2" s="10"/>
      <x:c r="E2" s="10"/>
      <x:c r="F2" s="10"/>
      <x:c r="G2" s="10"/>
      <x:c r="H2" s="10"/>
      <x:c r="I2" s="10"/>
      <x:c r="J2" s="10"/>
      <x:c r="K2" s="6"/>
      <x:c r="L2" s="6"/>
      <x:c r="M2" s="6"/>
      <x:c r="N2" s="6"/>
      <x:c r="O2" s="6"/>
      <x:c r="P2" s="6"/>
      <x:c r="Q2" s="6"/>
    </x:row>
    <x:row r="3" ht="19" customHeight="1">
      <x:c r="A3" s="6" t="str">
        <x:v>Даты 14–19.10.2026 — предложенные, не подтверждённый факт. Часы — чистые человеко-часы, параллельная работа суммируется.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</x:row>
    <x:row r="4" ht="30" customHeight="1">
      <x:c r="A4" s="17" t="str">
        <x:v>ID</x:v>
      </x:c>
      <x:c r="B4" s="17" t="str">
        <x:v>Задача</x:v>
      </x:c>
      <x:c r="C4" s="17" t="str">
        <x:v>Начало</x:v>
      </x:c>
      <x:c r="D4" s="17" t="str">
        <x:v>Окончание</x:v>
      </x:c>
      <x:c r="E4" s="17" t="str">
        <x:v>У1, ч</x:v>
      </x:c>
      <x:c r="F4" s="17" t="str">
        <x:v>У2, ч</x:v>
      </x:c>
      <x:c r="G4" s="17" t="str">
        <x:v>У3, ч</x:v>
      </x:c>
      <x:c r="H4" s="17" t="str">
        <x:v>Всего, чел·ч</x:v>
      </x:c>
      <x:c r="I4" s="17" t="str">
        <x:v>Статус</x:v>
      </x:c>
      <x:c r="J4" s="17" t="str">
        <x:v>Артефакт</x:v>
      </x:c>
      <x:c r="K4" s="6"/>
      <x:c r="L4" s="6"/>
      <x:c r="M4" s="6"/>
      <x:c r="N4" s="6"/>
      <x:c r="O4" s="6"/>
      <x:c r="P4" s="6"/>
      <x:c r="Q4" s="6"/>
    </x:row>
    <x:row r="5" ht="34" customHeight="1">
      <x:c r="A5" s="6" t="str">
        <x:v>T01</x:v>
      </x:c>
      <x:c r="B5" s="22" t="str">
        <x:v>Установочная встреча, правила и роли</x:v>
      </x:c>
      <x:c r="C5" s="44" t="n">
        <x:v>46309</x:v>
      </x:c>
      <x:c r="D5" s="44" t="n">
        <x:v>46309</x:v>
      </x:c>
      <x:c r="E5" s="54" t="n">
        <x:v>0.5</x:v>
      </x:c>
      <x:c r="F5" s="54" t="n">
        <x:v>0.5</x:v>
      </x:c>
      <x:c r="G5" s="54" t="n">
        <x:v>0.5</x:v>
      </x:c>
      <x:c r="H5" s="46" t="n">
        <x:f>SUM(E5:G5)</x:f>
        <x:v>1.5</x:v>
      </x:c>
      <x:c r="I5" s="52" t="str">
        <x:v>План</x:v>
      </x:c>
      <x:c r="J5" s="22" t="str">
        <x:v>Протокол встречи</x:v>
      </x:c>
      <x:c r="K5" s="6"/>
      <x:c r="L5" s="6"/>
      <x:c r="M5" s="6"/>
      <x:c r="N5" s="6"/>
      <x:c r="O5" s="6"/>
      <x:c r="P5" s="6"/>
      <x:c r="Q5" s="6"/>
    </x:row>
    <x:row r="6" ht="34" customHeight="1">
      <x:c r="A6" s="6" t="str">
        <x:v>T02</x:v>
      </x:c>
      <x:c r="B6" s="22" t="str">
        <x:v>Концепция и 12 UC StudyFlow</x:v>
      </x:c>
      <x:c r="C6" s="44" t="n">
        <x:v>46309</x:v>
      </x:c>
      <x:c r="D6" s="44" t="n">
        <x:v>46309</x:v>
      </x:c>
      <x:c r="E6" s="54" t="n">
        <x:v>1.4</x:v>
      </x:c>
      <x:c r="F6" s="54" t="n">
        <x:v>0</x:v>
      </x:c>
      <x:c r="G6" s="54" t="n">
        <x:v>0</x:v>
      </x:c>
      <x:c r="H6" s="46" t="n">
        <x:f>SUM(E6:G6)</x:f>
        <x:v>1.4</x:v>
      </x:c>
      <x:c r="I6" s="52" t="str">
        <x:v>План</x:v>
      </x:c>
      <x:c r="J6" s="22" t="str">
        <x:v>Паспорт A1</x:v>
      </x:c>
      <x:c r="K6" s="6"/>
      <x:c r="L6" s="6"/>
      <x:c r="M6" s="6"/>
      <x:c r="N6" s="6"/>
      <x:c r="O6" s="6"/>
      <x:c r="P6" s="6"/>
      <x:c r="Q6" s="6"/>
    </x:row>
    <x:row r="7" ht="34" customHeight="1">
      <x:c r="A7" s="6" t="str">
        <x:v>T03</x:v>
      </x:c>
      <x:c r="B7" s="22" t="str">
        <x:v>Концепция и 12 UC CampusEvents</x:v>
      </x:c>
      <x:c r="C7" s="44" t="n">
        <x:v>46309</x:v>
      </x:c>
      <x:c r="D7" s="44" t="n">
        <x:v>46309</x:v>
      </x:c>
      <x:c r="E7" s="54" t="n">
        <x:v>0</x:v>
      </x:c>
      <x:c r="F7" s="54" t="n">
        <x:v>1.4</x:v>
      </x:c>
      <x:c r="G7" s="54" t="n">
        <x:v>0</x:v>
      </x:c>
      <x:c r="H7" s="46" t="n">
        <x:f>SUM(E7:G7)</x:f>
        <x:v>1.4</x:v>
      </x:c>
      <x:c r="I7" s="52" t="str">
        <x:v>План</x:v>
      </x:c>
      <x:c r="J7" s="22" t="str">
        <x:v>Паспорт A2</x:v>
      </x:c>
      <x:c r="K7" s="6"/>
      <x:c r="L7" s="6"/>
      <x:c r="M7" s="6"/>
      <x:c r="N7" s="6"/>
      <x:c r="O7" s="6"/>
      <x:c r="P7" s="6"/>
      <x:c r="Q7" s="6"/>
    </x:row>
    <x:row r="8" ht="34" customHeight="1">
      <x:c r="A8" s="6" t="str">
        <x:v>T04</x:v>
      </x:c>
      <x:c r="B8" s="22" t="str">
        <x:v>Концепция и 12 UC BookSwap</x:v>
      </x:c>
      <x:c r="C8" s="44" t="n">
        <x:v>46310</x:v>
      </x:c>
      <x:c r="D8" s="44" t="n">
        <x:v>46310</x:v>
      </x:c>
      <x:c r="E8" s="54" t="n">
        <x:v>0.4</x:v>
      </x:c>
      <x:c r="F8" s="54" t="n">
        <x:v>0</x:v>
      </x:c>
      <x:c r="G8" s="54" t="n">
        <x:v>1</x:v>
      </x:c>
      <x:c r="H8" s="46" t="n">
        <x:f>SUM(E8:G8)</x:f>
        <x:v>1.4</x:v>
      </x:c>
      <x:c r="I8" s="52" t="str">
        <x:v>План</x:v>
      </x:c>
      <x:c r="J8" s="22" t="str">
        <x:v>Паспорт A3</x:v>
      </x:c>
      <x:c r="K8" s="6"/>
      <x:c r="L8" s="6"/>
      <x:c r="M8" s="6"/>
      <x:c r="N8" s="6"/>
      <x:c r="O8" s="6"/>
      <x:c r="P8" s="6"/>
      <x:c r="Q8" s="6"/>
    </x:row>
    <x:row r="9" ht="34" customHeight="1">
      <x:c r="A9" s="6" t="str">
        <x:v>T05</x:v>
      </x:c>
      <x:c r="B9" s="22" t="str">
        <x:v>Концепция и 12 UC SkillBridge</x:v>
      </x:c>
      <x:c r="C9" s="44" t="n">
        <x:v>46310</x:v>
      </x:c>
      <x:c r="D9" s="44" t="n">
        <x:v>46310</x:v>
      </x:c>
      <x:c r="E9" s="54" t="n">
        <x:v>0</x:v>
      </x:c>
      <x:c r="F9" s="54" t="n">
        <x:v>0.4</x:v>
      </x:c>
      <x:c r="G9" s="54" t="n">
        <x:v>1</x:v>
      </x:c>
      <x:c r="H9" s="46" t="n">
        <x:f>SUM(E9:G9)</x:f>
        <x:v>1.4</x:v>
      </x:c>
      <x:c r="I9" s="52" t="str">
        <x:v>План</x:v>
      </x:c>
      <x:c r="J9" s="22" t="str">
        <x:v>Паспорт A4</x:v>
      </x:c>
      <x:c r="K9" s="6"/>
      <x:c r="L9" s="6"/>
      <x:c r="M9" s="6"/>
      <x:c r="N9" s="6"/>
      <x:c r="O9" s="6"/>
      <x:c r="P9" s="6"/>
      <x:c r="Q9" s="6"/>
    </x:row>
    <x:row r="10" ht="34" customHeight="1">
      <x:c r="A10" s="6" t="str">
        <x:v>T06</x:v>
      </x:c>
      <x:c r="B10" s="22" t="str">
        <x:v>Критерии, шкала и формулировки</x:v>
      </x:c>
      <x:c r="C10" s="44" t="n">
        <x:v>46310</x:v>
      </x:c>
      <x:c r="D10" s="44" t="n">
        <x:v>46310</x:v>
      </x:c>
      <x:c r="E10" s="54" t="n">
        <x:v>1.1</x:v>
      </x:c>
      <x:c r="F10" s="54" t="n">
        <x:v>0.4</x:v>
      </x:c>
      <x:c r="G10" s="54" t="n">
        <x:v>0.4</x:v>
      </x:c>
      <x:c r="H10" s="46" t="n">
        <x:f>SUM(E10:G10)</x:f>
        <x:v>1.9</x:v>
      </x:c>
      <x:c r="I10" s="52" t="str">
        <x:v>План</x:v>
      </x:c>
      <x:c r="J10" s="22" t="str">
        <x:v>Критерии K1–K5</x:v>
      </x:c>
      <x:c r="K10" s="6"/>
      <x:c r="L10" s="6"/>
      <x:c r="M10" s="6"/>
      <x:c r="N10" s="6"/>
      <x:c r="O10" s="6"/>
      <x:c r="P10" s="6"/>
      <x:c r="Q10" s="6"/>
    </x:row>
    <x:row r="11" ht="34" customHeight="1">
      <x:c r="A11" s="6" t="str">
        <x:v>T07</x:v>
      </x:c>
      <x:c r="B11" s="22" t="str">
        <x:v>Независимые балльные оценки (TOPSIS)</x:v>
      </x:c>
      <x:c r="C11" s="44" t="n">
        <x:v>46310</x:v>
      </x:c>
      <x:c r="D11" s="44" t="n">
        <x:v>46311</x:v>
      </x:c>
      <x:c r="E11" s="54" t="n">
        <x:v>0.8</x:v>
      </x:c>
      <x:c r="F11" s="54" t="n">
        <x:v>0.8</x:v>
      </x:c>
      <x:c r="G11" s="54" t="n">
        <x:v>0.8</x:v>
      </x:c>
      <x:c r="H11" s="46" t="n">
        <x:f>SUM(E11:G11)</x:f>
        <x:v>2.4000000000000004</x:v>
      </x:c>
      <x:c r="I11" s="52" t="str">
        <x:v>План</x:v>
      </x:c>
      <x:c r="J11" s="22" t="str">
        <x:v>3 опросных листа</x:v>
      </x:c>
      <x:c r="K11" s="6"/>
      <x:c r="L11" s="6"/>
      <x:c r="M11" s="6"/>
      <x:c r="N11" s="6"/>
      <x:c r="O11" s="6"/>
      <x:c r="P11" s="6"/>
      <x:c r="Q11" s="6"/>
    </x:row>
    <x:row r="12" ht="34" customHeight="1">
      <x:c r="A12" s="6" t="str">
        <x:v>T08</x:v>
      </x:c>
      <x:c r="B12" s="22" t="str">
        <x:v>Расчёт коллективного нечёткого TOPSIS</x:v>
      </x:c>
      <x:c r="C12" s="44" t="n">
        <x:v>46311</x:v>
      </x:c>
      <x:c r="D12" s="44" t="n">
        <x:v>46312</x:v>
      </x:c>
      <x:c r="E12" s="54" t="n">
        <x:v>0.2</x:v>
      </x:c>
      <x:c r="F12" s="54" t="n">
        <x:v>2.2</x:v>
      </x:c>
      <x:c r="G12" s="54" t="n">
        <x:v>0.3</x:v>
      </x:c>
      <x:c r="H12" s="46" t="n">
        <x:f>SUM(E12:G12)</x:f>
        <x:v>2.7</x:v>
      </x:c>
      <x:c r="I12" s="52" t="str">
        <x:v>План</x:v>
      </x:c>
      <x:c r="J12" s="22" t="str">
        <x:v>Таблица TOPSIS</x:v>
      </x:c>
      <x:c r="K12" s="6"/>
      <x:c r="L12" s="6"/>
      <x:c r="M12" s="6"/>
      <x:c r="N12" s="6"/>
      <x:c r="O12" s="6"/>
      <x:c r="P12" s="6"/>
      <x:c r="Q12" s="6"/>
    </x:row>
    <x:row r="13" ht="34" customHeight="1">
      <x:c r="A13" s="6" t="str">
        <x:v>T09</x:v>
      </x:c>
      <x:c r="B13" s="22" t="str">
        <x:v>Независимые попарные сравнения МАИ</x:v>
      </x:c>
      <x:c r="C13" s="44" t="n">
        <x:v>46311</x:v>
      </x:c>
      <x:c r="D13" s="44" t="n">
        <x:v>46312</x:v>
      </x:c>
      <x:c r="E13" s="54" t="n">
        <x:v>1.2</x:v>
      </x:c>
      <x:c r="F13" s="54" t="n">
        <x:v>1.2</x:v>
      </x:c>
      <x:c r="G13" s="54" t="n">
        <x:v>1.2</x:v>
      </x:c>
      <x:c r="H13" s="46" t="n">
        <x:f>SUM(E13:G13)</x:f>
        <x:v>3.5999999999999996</x:v>
      </x:c>
      <x:c r="I13" s="52" t="str">
        <x:v>План</x:v>
      </x:c>
      <x:c r="J13" s="22" t="str">
        <x:v>3 комплекта суждений</x:v>
      </x:c>
      <x:c r="K13" s="6"/>
      <x:c r="L13" s="6"/>
      <x:c r="M13" s="6"/>
      <x:c r="N13" s="6"/>
      <x:c r="O13" s="6"/>
      <x:c r="P13" s="6"/>
      <x:c r="Q13" s="6"/>
    </x:row>
    <x:row r="14" ht="34" customHeight="1">
      <x:c r="A14" s="6" t="str">
        <x:v>T10</x:v>
      </x:c>
      <x:c r="B14" s="22" t="str">
        <x:v>Агрегация МАИ и проверка CR</x:v>
      </x:c>
      <x:c r="C14" s="44" t="n">
        <x:v>46312</x:v>
      </x:c>
      <x:c r="D14" s="44" t="n">
        <x:v>46313</x:v>
      </x:c>
      <x:c r="E14" s="54" t="n">
        <x:v>0.2</x:v>
      </x:c>
      <x:c r="F14" s="54" t="n">
        <x:v>0.3</x:v>
      </x:c>
      <x:c r="G14" s="54" t="n">
        <x:v>2.3</x:v>
      </x:c>
      <x:c r="H14" s="46" t="n">
        <x:f>SUM(E14:G14)</x:f>
        <x:v>2.8</x:v>
      </x:c>
      <x:c r="I14" s="52" t="str">
        <x:v>План</x:v>
      </x:c>
      <x:c r="J14" s="22" t="str">
        <x:v>Матрицы МАИ</x:v>
      </x:c>
      <x:c r="K14" s="6"/>
      <x:c r="L14" s="6"/>
      <x:c r="M14" s="6"/>
      <x:c r="N14" s="6"/>
      <x:c r="O14" s="6"/>
      <x:c r="P14" s="6"/>
      <x:c r="Q14" s="6"/>
    </x:row>
    <x:row r="15" ht="34" customHeight="1">
      <x:c r="A15" s="6" t="str">
        <x:v>T11</x:v>
      </x:c>
      <x:c r="B15" s="22" t="str">
        <x:v>Сопоставление и анализ чувствительности</x:v>
      </x:c>
      <x:c r="C15" s="44" t="n">
        <x:v>46313</x:v>
      </x:c>
      <x:c r="D15" s="44" t="n">
        <x:v>46313</x:v>
      </x:c>
      <x:c r="E15" s="54" t="n">
        <x:v>0.4</x:v>
      </x:c>
      <x:c r="F15" s="54" t="n">
        <x:v>0.9</x:v>
      </x:c>
      <x:c r="G15" s="54" t="n">
        <x:v>0.7</x:v>
      </x:c>
      <x:c r="H15" s="46" t="n">
        <x:f>SUM(E15:G15)</x:f>
        <x:v>2</x:v>
      </x:c>
      <x:c r="I15" s="52" t="str">
        <x:v>План</x:v>
      </x:c>
      <x:c r="J15" s="22" t="str">
        <x:v>Сравнительная таблица</x:v>
      </x:c>
      <x:c r="K15" s="6"/>
      <x:c r="L15" s="6"/>
      <x:c r="M15" s="6"/>
      <x:c r="N15" s="6"/>
      <x:c r="O15" s="6"/>
      <x:c r="P15" s="6"/>
      <x:c r="Q15" s="6"/>
    </x:row>
    <x:row r="16" ht="34" customHeight="1">
      <x:c r="A16" s="6" t="str">
        <x:v>T12</x:v>
      </x:c>
      <x:c r="B16" s="22" t="str">
        <x:v>Общая встреча и решение команды</x:v>
      </x:c>
      <x:c r="C16" s="44" t="n">
        <x:v>46313</x:v>
      </x:c>
      <x:c r="D16" s="44" t="n">
        <x:v>46313</x:v>
      </x:c>
      <x:c r="E16" s="54" t="n">
        <x:v>0.5</x:v>
      </x:c>
      <x:c r="F16" s="54" t="n">
        <x:v>0.5</x:v>
      </x:c>
      <x:c r="G16" s="54" t="n">
        <x:v>0.5</x:v>
      </x:c>
      <x:c r="H16" s="46" t="n">
        <x:f>SUM(E16:G16)</x:f>
        <x:v>1.5</x:v>
      </x:c>
      <x:c r="I16" s="52" t="str">
        <x:v>План</x:v>
      </x:c>
      <x:c r="J16" s="22" t="str">
        <x:v>Протокол выбора</x:v>
      </x:c>
      <x:c r="K16" s="6"/>
      <x:c r="L16" s="6"/>
      <x:c r="M16" s="6"/>
      <x:c r="N16" s="6"/>
      <x:c r="O16" s="6"/>
      <x:c r="P16" s="6"/>
      <x:c r="Q16" s="6"/>
    </x:row>
    <x:row r="17" ht="34" customHeight="1">
      <x:c r="A17" s="6" t="str">
        <x:v>T13</x:v>
      </x:c>
      <x:c r="B17" s="22" t="str">
        <x:v>Сборка отчёта и актуализация RACI</x:v>
      </x:c>
      <x:c r="C17" s="44" t="n">
        <x:v>46313</x:v>
      </x:c>
      <x:c r="D17" s="44" t="n">
        <x:v>46314</x:v>
      </x:c>
      <x:c r="E17" s="54" t="n">
        <x:v>2.2</x:v>
      </x:c>
      <x:c r="F17" s="54" t="n">
        <x:v>0.4</x:v>
      </x:c>
      <x:c r="G17" s="54" t="n">
        <x:v>0.3</x:v>
      </x:c>
      <x:c r="H17" s="46" t="n">
        <x:f>SUM(E17:G17)</x:f>
        <x:v>2.9</x:v>
      </x:c>
      <x:c r="I17" s="52" t="str">
        <x:v>План</x:v>
      </x:c>
      <x:c r="J17" s="22" t="str">
        <x:v>Отчёт + RACI v1</x:v>
      </x:c>
      <x:c r="K17" s="6"/>
      <x:c r="L17" s="6"/>
      <x:c r="M17" s="6"/>
      <x:c r="N17" s="6"/>
      <x:c r="O17" s="6"/>
      <x:c r="P17" s="6"/>
      <x:c r="Q17" s="6"/>
    </x:row>
    <x:row r="18" ht="34" customHeight="1">
      <x:c r="A18" s="6" t="str">
        <x:v>T14</x:v>
      </x:c>
      <x:c r="B18" s="22" t="str">
        <x:v>Взаимная проверка методики и результатов</x:v>
      </x:c>
      <x:c r="C18" s="44" t="n">
        <x:v>46314</x:v>
      </x:c>
      <x:c r="D18" s="44" t="n">
        <x:v>46314</x:v>
      </x:c>
      <x:c r="E18" s="54" t="n">
        <x:v>0.4</x:v>
      </x:c>
      <x:c r="F18" s="54" t="n">
        <x:v>0.6</x:v>
      </x:c>
      <x:c r="G18" s="54" t="n">
        <x:v>1</x:v>
      </x:c>
      <x:c r="H18" s="46" t="n">
        <x:f>SUM(E18:G18)</x:f>
        <x:v>2</x:v>
      </x:c>
      <x:c r="I18" s="52" t="str">
        <x:v>План</x:v>
      </x:c>
      <x:c r="J18" s="22" t="str">
        <x:v>Чек-лист проверки</x:v>
      </x:c>
      <x:c r="K18" s="6"/>
      <x:c r="L18" s="6"/>
      <x:c r="M18" s="6"/>
      <x:c r="N18" s="6"/>
      <x:c r="O18" s="6"/>
      <x:c r="P18" s="6"/>
      <x:c r="Q18" s="6"/>
    </x:row>
    <x:row r="19" ht="34" customHeight="1">
      <x:c r="A19" s="6" t="str">
        <x:v>T15</x:v>
      </x:c>
      <x:c r="B19" s="22" t="str">
        <x:v>Публикация материалов в общей папке</x:v>
      </x:c>
      <x:c r="C19" s="44" t="n">
        <x:v>46314</x:v>
      </x:c>
      <x:c r="D19" s="44" t="n">
        <x:v>46314</x:v>
      </x:c>
      <x:c r="E19" s="54" t="n">
        <x:v>0.4</x:v>
      </x:c>
      <x:c r="F19" s="54" t="n">
        <x:v>0</x:v>
      </x:c>
      <x:c r="G19" s="54" t="n">
        <x:v>0</x:v>
      </x:c>
      <x:c r="H19" s="46" t="n">
        <x:f>SUM(E19:G19)</x:f>
        <x:v>0.4</x:v>
      </x:c>
      <x:c r="I19" s="52" t="str">
        <x:v>План</x:v>
      </x:c>
      <x:c r="J19" s="22" t="str">
        <x:v>Ссылка на архив</x:v>
      </x:c>
      <x:c r="K19" s="6"/>
      <x:c r="L19" s="6"/>
      <x:c r="M19" s="6"/>
      <x:c r="N19" s="6"/>
      <x:c r="O19" s="6"/>
      <x:c r="P19" s="6"/>
      <x:c r="Q19" s="6"/>
    </x:row>
    <x:row r="20" ht="19" customHeight="1">
      <x:c r="A20" s="6"/>
      <x:c r="B20" s="6" t="str">
        <x:v>ИТОГО</x:v>
      </x:c>
      <x:c r="C20" s="6"/>
      <x:c r="D20" s="6"/>
      <x:c r="E20" s="49" t="n">
        <x:f>SUM(E5:E19)</x:f>
        <x:v>9.700000000000003</x:v>
      </x:c>
      <x:c r="F20" s="49" t="n">
        <x:f>SUM(F5:F19)</x:f>
        <x:v>9.6</x:v>
      </x:c>
      <x:c r="G20" s="49" t="n">
        <x:f>SUM(G5:G19)</x:f>
        <x:v>10</x:v>
      </x:c>
      <x:c r="H20" s="49" t="n">
        <x:f>SUM(H5:H19)</x:f>
        <x:v>29.3</x:v>
      </x:c>
      <x:c r="I20" s="6"/>
      <x:c r="J20" s="6"/>
      <x:c r="K20" s="6"/>
      <x:c r="L20" s="6"/>
      <x:c r="M20" s="6"/>
      <x:c r="N20" s="6"/>
      <x:c r="O20" s="6"/>
      <x:c r="P20" s="6"/>
      <x:c r="Q20" s="6"/>
    </x:row>
    <x:row r="21" ht="19" customHeight="1">
      <x:c r="A21" s="6"/>
      <x:c r="B21" s="6"/>
      <x:c r="C21" s="6"/>
      <x:c r="D21" s="6"/>
      <x:c r="E21" s="6"/>
      <x:c r="F21" s="6"/>
      <x:c r="G21" s="6"/>
      <x:c r="H21" s="6"/>
      <x:c r="I21" s="6"/>
      <x:c r="J21" s="6"/>
      <x:c r="K21" s="6"/>
      <x:c r="L21" s="6"/>
      <x:c r="M21" s="6"/>
      <x:c r="N21" s="6"/>
      <x:c r="O21" s="6"/>
      <x:c r="P21" s="6"/>
      <x:c r="Q21" s="6"/>
    </x:row>
    <x:row r="22" ht="19" customHeight="1">
      <x:c r="A22" s="6"/>
      <x:c r="B22" s="6"/>
      <x:c r="C22" s="6"/>
      <x:c r="D22" s="6"/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  <x:c r="Q22" s="6"/>
    </x:row>
    <x:row r="23" ht="19" customHeight="1">
      <x:c r="A23" s="6"/>
      <x:c r="B23" s="6"/>
      <x:c r="C23" s="6"/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  <x:c r="Q23" s="6"/>
    </x:row>
    <x:row r="24" ht="19" customHeight="1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  <x:c r="Q24" s="6"/>
    </x:row>
    <x:row r="25" ht="19" customHeight="1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  <x:c r="Q25" s="6"/>
    </x:row>
    <x:row r="26" ht="19" customHeight="1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  <x:c r="Q26" s="6"/>
    </x:row>
    <x:row r="27" ht="19" customHeight="1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  <x:c r="Q27" s="6"/>
    </x:row>
    <x:row r="28" ht="19" customHeight="1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  <x:c r="Q28" s="6"/>
    </x:row>
    <x:row r="29" ht="19" customHeight="1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  <x:c r="Q29" s="6"/>
    </x:row>
    <x:row r="30" ht="19" customHeight="1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  <x:c r="Q30" s="6"/>
    </x:row>
    <x:row r="31" ht="19" customHeight="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  <x:c r="Q31" s="6"/>
    </x:row>
    <x:row r="32" ht="19" customHeight="1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  <x:c r="Q32" s="6"/>
    </x:row>
    <x:row r="33" ht="19" customHeight="1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  <x:c r="Q33" s="6"/>
    </x:row>
    <x:row r="34" ht="19" customHeight="1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  <x:c r="Q34" s="6"/>
    </x:row>
    <x:row r="35" ht="19" customHeight="1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  <x:c r="Q35" s="6"/>
    </x:row>
    <x:row r="36" ht="19" customHeight="1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  <x:c r="Q36" s="6"/>
    </x:row>
    <x:row r="37" ht="19" customHeight="1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  <x:c r="Q37" s="6"/>
    </x:row>
    <x:row r="38" ht="19" customHeight="1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  <x:c r="Q38" s="6"/>
    </x:row>
    <x:row r="39" ht="19" customHeight="1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  <x:c r="Q39" s="6"/>
    </x:row>
    <x:row r="40" ht="19" customHeight="1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  <x:c r="Q40" s="6"/>
    </x:row>
    <x:row r="41" ht="19" customHeight="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  <x:c r="Q41" s="6"/>
    </x:row>
    <x:row r="42" ht="19" customHeight="1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  <x:c r="Q42" s="6"/>
    </x:row>
    <x:row r="43" ht="19" customHeight="1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  <x:c r="Q43" s="6"/>
    </x:row>
    <x:row r="44" ht="19" customHeight="1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  <x:c r="Q44" s="6"/>
    </x:row>
    <x:row r="45" ht="19" customHeight="1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  <x:c r="Q45" s="6"/>
    </x:row>
    <x:row r="46" ht="19" customHeight="1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  <x:c r="Q46" s="6"/>
    </x:row>
    <x:row r="47" ht="19" customHeight="1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  <x:c r="Q47" s="6"/>
    </x:row>
    <x:row r="48" ht="19" customHeight="1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  <x:c r="Q48" s="6"/>
    </x:row>
    <x:row r="49" ht="19" customHeight="1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  <x:c r="Q49" s="6"/>
    </x:row>
    <x:row r="50" ht="19" customHeight="1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  <x:c r="Q50" s="6"/>
    </x:row>
    <x:row r="51" ht="19" customHeight="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  <x:c r="Q51" s="6"/>
    </x:row>
    <x:row r="52" ht="19" customHeight="1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  <x:c r="Q52" s="6"/>
    </x:row>
    <x:row r="53" ht="19" customHeight="1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  <x:c r="Q53" s="6"/>
    </x:row>
    <x:row r="54" ht="19" customHeight="1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  <x:c r="Q54" s="6"/>
    </x:row>
    <x:row r="55" ht="19" customHeight="1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  <x:c r="Q55" s="6"/>
    </x:row>
    <x:row r="56" ht="19" customHeight="1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  <x:c r="Q56" s="6"/>
    </x:row>
    <x:row r="57" ht="19" customHeight="1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  <x:c r="Q57" s="6"/>
    </x:row>
    <x:row r="58" ht="19" customHeight="1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  <x:c r="Q58" s="6"/>
    </x:row>
    <x:row r="59" ht="19" customHeight="1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  <x:c r="Q59" s="6"/>
    </x:row>
    <x:row r="60" ht="19" customHeight="1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  <x:c r="Q60" s="6"/>
    </x:row>
    <x:row r="61" ht="19" customHeight="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  <x:c r="Q61" s="6"/>
    </x:row>
    <x:row r="62" ht="19" customHeight="1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  <x:c r="Q62" s="6"/>
    </x:row>
    <x:row r="63" ht="19" customHeight="1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  <x:c r="Q63" s="6"/>
    </x:row>
    <x:row r="64" ht="19" customHeight="1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  <x:c r="Q64" s="6"/>
    </x:row>
    <x:row r="65" ht="19" customHeight="1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</x:row>
    <x:row r="66" ht="19" customHeight="1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  <x:c r="Q66" s="6"/>
    </x:row>
    <x:row r="67" ht="19" customHeight="1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  <x:c r="Q67" s="6"/>
    </x:row>
    <x:row r="68" ht="19" customHeight="1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  <x:c r="Q68" s="6"/>
    </x:row>
    <x:row r="69" ht="19" customHeight="1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  <x:c r="Q69" s="6"/>
    </x:row>
    <x:row r="70" ht="19" customHeight="1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</x:row>
    <x:row r="71" ht="19" customHeight="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  <x:c r="Q71" s="6"/>
    </x:row>
    <x:row r="72" ht="19" customHeight="1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  <x:c r="Q72" s="6"/>
    </x:row>
    <x:row r="73" ht="19" customHeight="1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  <x:c r="Q73" s="6"/>
    </x:row>
    <x:row r="74" ht="19" customHeight="1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  <x:c r="Q74" s="6"/>
    </x:row>
    <x:row r="75" ht="19" customHeight="1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  <x:c r="Q75" s="6"/>
    </x:row>
    <x:row r="76" ht="19" customHeight="1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  <x:c r="Q76" s="6"/>
    </x:row>
    <x:row r="77" ht="19" customHeight="1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  <x:c r="Q77" s="6"/>
    </x:row>
    <x:row r="78" ht="19" customHeight="1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  <x:c r="Q78" s="6"/>
    </x:row>
    <x:row r="79" ht="19" customHeight="1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  <x:c r="Q79" s="6"/>
    </x:row>
    <x:row r="80" ht="19" customHeight="1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  <x:c r="Q80" s="6"/>
    </x:row>
    <x:row r="81" ht="19" customHeight="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  <x:c r="Q81" s="6"/>
    </x:row>
    <x:row r="82" ht="19" customHeight="1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  <x:c r="Q82" s="6"/>
    </x:row>
    <x:row r="83" ht="19" customHeight="1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  <x:c r="Q83" s="6"/>
    </x:row>
    <x:row r="84" ht="19" customHeight="1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  <x:c r="Q84" s="6"/>
    </x:row>
    <x:row r="85" ht="19" customHeight="1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</x:row>
    <x:row r="86" ht="19" customHeight="1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  <x:c r="Q86" s="6"/>
    </x:row>
    <x:row r="87" ht="19" customHeight="1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  <x:c r="Q87" s="6"/>
    </x:row>
    <x:row r="88" ht="19" customHeight="1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  <x:c r="Q88" s="6"/>
    </x:row>
    <x:row r="89" ht="19" customHeight="1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  <x:c r="Q89" s="6"/>
    </x:row>
    <x:row r="90" ht="19" customHeight="1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  <x:c r="Q90" s="6"/>
    </x:row>
    <x:row r="91" ht="19" customHeight="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  <x:c r="Q91" s="6"/>
    </x:row>
    <x:row r="92" ht="19" customHeight="1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  <x:c r="Q92" s="6"/>
    </x:row>
    <x:row r="93" ht="19" customHeight="1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  <x:c r="Q93" s="6"/>
    </x:row>
    <x:row r="94" ht="19" customHeight="1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  <x:c r="Q94" s="6"/>
    </x:row>
    <x:row r="95" ht="19" customHeight="1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  <x:c r="Q95" s="6"/>
    </x:row>
    <x:row r="96" ht="19" customHeight="1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  <x:c r="Q96" s="6"/>
    </x:row>
    <x:row r="97" ht="19" customHeight="1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  <x:c r="Q97" s="6"/>
    </x:row>
    <x:row r="98" ht="19" customHeight="1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  <x:c r="Q98" s="6"/>
    </x:row>
    <x:row r="99" ht="19" customHeight="1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  <x:c r="Q99" s="6"/>
    </x:row>
    <x:row r="100" ht="19" customHeight="1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  <x:c r="Q100" s="6"/>
    </x:row>
    <x:row r="101" ht="19" customHeight="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  <x:c r="L101" s="6"/>
      <x:c r="M101" s="6"/>
      <x:c r="N101" s="6"/>
      <x:c r="O101" s="6"/>
      <x:c r="P101" s="6"/>
      <x:c r="Q101" s="6"/>
    </x:row>
    <x:row r="102" ht="19" customHeight="1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  <x:c r="M102" s="6"/>
      <x:c r="N102" s="6"/>
      <x:c r="O102" s="6"/>
      <x:c r="P102" s="6"/>
      <x:c r="Q102" s="6"/>
    </x:row>
    <x:row r="103" ht="19" customHeight="1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  <x:c r="L103" s="6"/>
      <x:c r="M103" s="6"/>
      <x:c r="N103" s="6"/>
      <x:c r="O103" s="6"/>
      <x:c r="P103" s="6"/>
      <x:c r="Q103" s="6"/>
    </x:row>
    <x:row r="104" ht="19" customHeight="1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  <x:c r="M104" s="6"/>
      <x:c r="N104" s="6"/>
      <x:c r="O104" s="6"/>
      <x:c r="P104" s="6"/>
      <x:c r="Q104" s="6"/>
    </x:row>
    <x:row r="105" ht="19" customHeight="1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  <x:c r="M105" s="6"/>
      <x:c r="N105" s="6"/>
      <x:c r="O105" s="6"/>
      <x:c r="P105" s="6"/>
      <x:c r="Q105" s="6"/>
    </x:row>
    <x:row r="106" ht="19" customHeight="1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  <x:c r="M106" s="6"/>
      <x:c r="N106" s="6"/>
      <x:c r="O106" s="6"/>
      <x:c r="P106" s="6"/>
      <x:c r="Q106" s="6"/>
    </x:row>
    <x:row r="107" ht="19" customHeight="1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  <x:c r="M107" s="6"/>
      <x:c r="N107" s="6"/>
      <x:c r="O107" s="6"/>
      <x:c r="P107" s="6"/>
      <x:c r="Q107" s="6"/>
    </x:row>
    <x:row r="108" ht="19" customHeight="1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  <x:c r="M108" s="6"/>
      <x:c r="N108" s="6"/>
      <x:c r="O108" s="6"/>
      <x:c r="P108" s="6"/>
      <x:c r="Q108" s="6"/>
    </x:row>
    <x:row r="109" ht="19" customHeight="1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  <x:c r="L109" s="6"/>
      <x:c r="M109" s="6"/>
      <x:c r="N109" s="6"/>
      <x:c r="O109" s="6"/>
      <x:c r="P109" s="6"/>
      <x:c r="Q109" s="6"/>
    </x:row>
    <x:row r="110" ht="19" customHeight="1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  <x:c r="L110" s="6"/>
      <x:c r="M110" s="6"/>
      <x:c r="N110" s="6"/>
      <x:c r="O110" s="6"/>
      <x:c r="P110" s="6"/>
      <x:c r="Q110" s="6"/>
    </x:row>
    <x:row r="111" ht="19" customHeight="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  <x:c r="L111" s="6"/>
      <x:c r="M111" s="6"/>
      <x:c r="N111" s="6"/>
      <x:c r="O111" s="6"/>
      <x:c r="P111" s="6"/>
      <x:c r="Q111" s="6"/>
    </x:row>
    <x:row r="112" ht="19" customHeight="1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  <x:c r="L112" s="6"/>
      <x:c r="M112" s="6"/>
      <x:c r="N112" s="6"/>
      <x:c r="O112" s="6"/>
      <x:c r="P112" s="6"/>
      <x:c r="Q112" s="6"/>
    </x:row>
    <x:row r="113" ht="19" customHeight="1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  <x:c r="L113" s="6"/>
      <x:c r="M113" s="6"/>
      <x:c r="N113" s="6"/>
      <x:c r="O113" s="6"/>
      <x:c r="P113" s="6"/>
      <x:c r="Q113" s="6"/>
    </x:row>
    <x:row r="114" ht="19" customHeight="1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  <x:c r="L114" s="6"/>
      <x:c r="M114" s="6"/>
      <x:c r="N114" s="6"/>
      <x:c r="O114" s="6"/>
      <x:c r="P114" s="6"/>
      <x:c r="Q114" s="6"/>
    </x:row>
    <x:row r="115" ht="19" customHeight="1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  <x:c r="M115" s="6"/>
      <x:c r="N115" s="6"/>
      <x:c r="O115" s="6"/>
      <x:c r="P115" s="6"/>
      <x:c r="Q115" s="6"/>
    </x:row>
    <x:row r="116" ht="19" customHeight="1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  <x:c r="L116" s="6"/>
      <x:c r="M116" s="6"/>
      <x:c r="N116" s="6"/>
      <x:c r="O116" s="6"/>
      <x:c r="P116" s="6"/>
      <x:c r="Q116" s="6"/>
    </x:row>
    <x:row r="117" ht="19" customHeight="1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  <x:c r="M117" s="6"/>
      <x:c r="N117" s="6"/>
      <x:c r="O117" s="6"/>
      <x:c r="P117" s="6"/>
      <x:c r="Q117" s="6"/>
    </x:row>
    <x:row r="118" ht="19" customHeight="1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  <x:c r="M118" s="6"/>
      <x:c r="N118" s="6"/>
      <x:c r="O118" s="6"/>
      <x:c r="P118" s="6"/>
      <x:c r="Q118" s="6"/>
    </x:row>
    <x:row r="119" ht="19" customHeight="1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  <x:c r="M119" s="6"/>
      <x:c r="N119" s="6"/>
      <x:c r="O119" s="6"/>
      <x:c r="P119" s="6"/>
      <x:c r="Q119" s="6"/>
    </x:row>
    <x:row r="120" ht="19" customHeight="1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  <x:c r="M120" s="6"/>
      <x:c r="N120" s="6"/>
      <x:c r="O120" s="6"/>
      <x:c r="P120" s="6"/>
      <x:c r="Q120" s="6"/>
    </x:row>
    <x:row r="121" ht="19" customHeight="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  <x:c r="M121" s="6"/>
      <x:c r="N121" s="6"/>
      <x:c r="O121" s="6"/>
      <x:c r="P121" s="6"/>
      <x:c r="Q121" s="6"/>
    </x:row>
    <x:row r="122" ht="19" customHeight="1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  <x:c r="L122" s="6"/>
      <x:c r="M122" s="6"/>
      <x:c r="N122" s="6"/>
      <x:c r="O122" s="6"/>
      <x:c r="P122" s="6"/>
      <x:c r="Q122" s="6"/>
    </x:row>
    <x:row r="123" ht="19" customHeight="1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  <x:c r="L123" s="6"/>
      <x:c r="M123" s="6"/>
      <x:c r="N123" s="6"/>
      <x:c r="O123" s="6"/>
      <x:c r="P123" s="6"/>
      <x:c r="Q123" s="6"/>
    </x:row>
    <x:row r="124" ht="19" customHeight="1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  <x:c r="L124" s="6"/>
      <x:c r="M124" s="6"/>
      <x:c r="N124" s="6"/>
      <x:c r="O124" s="6"/>
      <x:c r="P124" s="6"/>
      <x:c r="Q124" s="6"/>
    </x:row>
    <x:row r="125" ht="19" customHeight="1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  <x:c r="L125" s="6"/>
      <x:c r="M125" s="6"/>
      <x:c r="N125" s="6"/>
      <x:c r="O125" s="6"/>
      <x:c r="P125" s="6"/>
      <x:c r="Q125" s="6"/>
    </x:row>
    <x:row r="126" ht="19" customHeight="1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  <x:c r="L126" s="6"/>
      <x:c r="M126" s="6"/>
      <x:c r="N126" s="6"/>
      <x:c r="O126" s="6"/>
      <x:c r="P126" s="6"/>
      <x:c r="Q126" s="6"/>
    </x:row>
    <x:row r="127" ht="19" customHeight="1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  <x:c r="L127" s="6"/>
      <x:c r="M127" s="6"/>
      <x:c r="N127" s="6"/>
      <x:c r="O127" s="6"/>
      <x:c r="P127" s="6"/>
      <x:c r="Q127" s="6"/>
    </x:row>
    <x:row r="128" ht="19" customHeight="1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  <x:c r="M128" s="6"/>
      <x:c r="N128" s="6"/>
      <x:c r="O128" s="6"/>
      <x:c r="P128" s="6"/>
      <x:c r="Q128" s="6"/>
    </x:row>
    <x:row r="129" ht="19" customHeight="1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  <x:c r="L129" s="6"/>
      <x:c r="M129" s="6"/>
      <x:c r="N129" s="6"/>
      <x:c r="O129" s="6"/>
      <x:c r="P129" s="6"/>
      <x:c r="Q129" s="6"/>
    </x:row>
    <x:row r="130" ht="19" customHeight="1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  <x:c r="M130" s="6"/>
      <x:c r="N130" s="6"/>
      <x:c r="O130" s="6"/>
      <x:c r="P130" s="6"/>
      <x:c r="Q130" s="6"/>
    </x:row>
    <x:row r="131" ht="19" customHeight="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  <x:c r="M131" s="6"/>
      <x:c r="N131" s="6"/>
      <x:c r="O131" s="6"/>
      <x:c r="P131" s="6"/>
      <x:c r="Q131" s="6"/>
    </x:row>
    <x:row r="132" ht="19" customHeight="1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  <x:c r="M132" s="6"/>
      <x:c r="N132" s="6"/>
      <x:c r="O132" s="6"/>
      <x:c r="P132" s="6"/>
      <x:c r="Q132" s="6"/>
    </x:row>
    <x:row r="133" ht="19" customHeight="1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  <x:c r="M133" s="6"/>
      <x:c r="N133" s="6"/>
      <x:c r="O133" s="6"/>
      <x:c r="P133" s="6"/>
      <x:c r="Q133" s="6"/>
    </x:row>
    <x:row r="134" ht="19" customHeight="1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  <x:c r="M134" s="6"/>
      <x:c r="N134" s="6"/>
      <x:c r="O134" s="6"/>
      <x:c r="P134" s="6"/>
      <x:c r="Q134" s="6"/>
    </x:row>
    <x:row r="135" ht="19" customHeight="1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  <x:c r="M135" s="6"/>
      <x:c r="N135" s="6"/>
      <x:c r="O135" s="6"/>
      <x:c r="P135" s="6"/>
      <x:c r="Q135" s="6"/>
    </x:row>
    <x:row r="136" ht="19" customHeight="1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  <x:c r="M136" s="6"/>
      <x:c r="N136" s="6"/>
      <x:c r="O136" s="6"/>
      <x:c r="P136" s="6"/>
      <x:c r="Q136" s="6"/>
    </x:row>
    <x:row r="137" ht="19" customHeight="1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  <x:c r="M137" s="6"/>
      <x:c r="N137" s="6"/>
      <x:c r="O137" s="6"/>
      <x:c r="P137" s="6"/>
      <x:c r="Q137" s="6"/>
    </x:row>
    <x:row r="138" ht="19" customHeight="1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  <x:c r="M138" s="6"/>
      <x:c r="N138" s="6"/>
      <x:c r="O138" s="6"/>
      <x:c r="P138" s="6"/>
      <x:c r="Q138" s="6"/>
    </x:row>
    <x:row r="139" ht="19" customHeight="1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  <x:c r="N139" s="6"/>
      <x:c r="O139" s="6"/>
      <x:c r="P139" s="6"/>
      <x:c r="Q139" s="6"/>
    </x:row>
    <x:row r="140" ht="19" customHeight="1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  <x:c r="M140" s="6"/>
      <x:c r="N140" s="6"/>
      <x:c r="O140" s="6"/>
      <x:c r="P140" s="6"/>
      <x:c r="Q140" s="6"/>
    </x:row>
    <x:row r="141" ht="19" customHeight="1">
      <x:c r="A141" s="6"/>
      <x:c r="B141" s="6"/>
      <x:c r="C141" s="6"/>
      <x:c r="D141" s="6"/>
      <x:c r="E141" s="6"/>
      <x:c r="F141" s="6"/>
      <x:c r="G141" s="6"/>
      <x:c r="H141" s="6"/>
      <x:c r="I141" s="6"/>
      <x:c r="J141" s="6"/>
      <x:c r="K141" s="6"/>
      <x:c r="L141" s="6"/>
      <x:c r="M141" s="6"/>
      <x:c r="N141" s="6"/>
      <x:c r="O141" s="6"/>
      <x:c r="P141" s="6"/>
      <x:c r="Q141" s="6"/>
    </x:row>
    <x:row r="142" ht="19" customHeight="1">
      <x:c r="A142" s="6"/>
      <x:c r="B142" s="6"/>
      <x:c r="C142" s="6"/>
      <x:c r="D142" s="6"/>
      <x:c r="E142" s="6"/>
      <x:c r="F142" s="6"/>
      <x:c r="G142" s="6"/>
      <x:c r="H142" s="6"/>
      <x:c r="I142" s="6"/>
      <x:c r="J142" s="6"/>
      <x:c r="K142" s="6"/>
      <x:c r="L142" s="6"/>
      <x:c r="M142" s="6"/>
      <x:c r="N142" s="6"/>
      <x:c r="O142" s="6"/>
      <x:c r="P142" s="6"/>
      <x:c r="Q142" s="6"/>
    </x:row>
    <x:row r="143" ht="19" customHeight="1">
      <x:c r="A143" s="6"/>
      <x:c r="B143" s="6"/>
      <x:c r="C143" s="6"/>
      <x:c r="D143" s="6"/>
      <x:c r="E143" s="6"/>
      <x:c r="F143" s="6"/>
      <x:c r="G143" s="6"/>
      <x:c r="H143" s="6"/>
      <x:c r="I143" s="6"/>
      <x:c r="J143" s="6"/>
      <x:c r="K143" s="6"/>
      <x:c r="L143" s="6"/>
      <x:c r="M143" s="6"/>
      <x:c r="N143" s="6"/>
      <x:c r="O143" s="6"/>
      <x:c r="P143" s="6"/>
      <x:c r="Q143" s="6"/>
    </x:row>
    <x:row r="144" ht="19" customHeight="1">
      <x:c r="A144" s="6"/>
      <x:c r="B144" s="6"/>
      <x:c r="C144" s="6"/>
      <x:c r="D144" s="6"/>
      <x:c r="E144" s="6"/>
      <x:c r="F144" s="6"/>
      <x:c r="G144" s="6"/>
      <x:c r="H144" s="6"/>
      <x:c r="I144" s="6"/>
      <x:c r="J144" s="6"/>
      <x:c r="K144" s="6"/>
      <x:c r="L144" s="6"/>
      <x:c r="M144" s="6"/>
      <x:c r="N144" s="6"/>
      <x:c r="O144" s="6"/>
      <x:c r="P144" s="6"/>
      <x:c r="Q144" s="6"/>
    </x:row>
    <x:row r="145" ht="19" customHeight="1">
      <x:c r="A145" s="6"/>
      <x:c r="B145" s="6"/>
      <x:c r="C145" s="6"/>
      <x:c r="D145" s="6"/>
      <x:c r="E145" s="6"/>
      <x:c r="F145" s="6"/>
      <x:c r="G145" s="6"/>
      <x:c r="H145" s="6"/>
      <x:c r="I145" s="6"/>
      <x:c r="J145" s="6"/>
      <x:c r="K145" s="6"/>
      <x:c r="L145" s="6"/>
      <x:c r="M145" s="6"/>
      <x:c r="N145" s="6"/>
      <x:c r="O145" s="6"/>
      <x:c r="P145" s="6"/>
      <x:c r="Q145" s="6"/>
    </x:row>
    <x:row r="146" ht="19" customHeight="1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  <x:c r="K146" s="6"/>
      <x:c r="L146" s="6"/>
      <x:c r="M146" s="6"/>
      <x:c r="N146" s="6"/>
      <x:c r="O146" s="6"/>
      <x:c r="P146" s="6"/>
      <x:c r="Q146" s="6"/>
    </x:row>
    <x:row r="147" ht="19" customHeight="1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  <x:c r="K147" s="6"/>
      <x:c r="L147" s="6"/>
      <x:c r="M147" s="6"/>
      <x:c r="N147" s="6"/>
      <x:c r="O147" s="6"/>
      <x:c r="P147" s="6"/>
      <x:c r="Q147" s="6"/>
    </x:row>
    <x:row r="148" ht="19" customHeight="1">
      <x:c r="A148" s="6"/>
      <x:c r="B148" s="6"/>
      <x:c r="C148" s="6"/>
      <x:c r="D148" s="6"/>
      <x:c r="E148" s="6"/>
      <x:c r="F148" s="6"/>
      <x:c r="G148" s="6"/>
      <x:c r="H148" s="6"/>
      <x:c r="I148" s="6"/>
      <x:c r="J148" s="6"/>
      <x:c r="K148" s="6"/>
      <x:c r="L148" s="6"/>
      <x:c r="M148" s="6"/>
      <x:c r="N148" s="6"/>
      <x:c r="O148" s="6"/>
      <x:c r="P148" s="6"/>
      <x:c r="Q148" s="6"/>
    </x:row>
    <x:row r="149" ht="19" customHeight="1">
      <x:c r="A149" s="6"/>
      <x:c r="B149" s="6"/>
      <x:c r="C149" s="6"/>
      <x:c r="D149" s="6"/>
      <x:c r="E149" s="6"/>
      <x:c r="F149" s="6"/>
      <x:c r="G149" s="6"/>
      <x:c r="H149" s="6"/>
      <x:c r="I149" s="6"/>
      <x:c r="J149" s="6"/>
      <x:c r="K149" s="6"/>
      <x:c r="L149" s="6"/>
      <x:c r="M149" s="6"/>
      <x:c r="N149" s="6"/>
      <x:c r="O149" s="6"/>
      <x:c r="P149" s="6"/>
      <x:c r="Q149" s="6"/>
    </x:row>
    <x:row r="150" ht="19" customHeight="1">
      <x:c r="A150" s="6"/>
      <x:c r="B150" s="6"/>
      <x:c r="C150" s="6"/>
      <x:c r="D150" s="6"/>
      <x:c r="E150" s="6"/>
      <x:c r="F150" s="6"/>
      <x:c r="G150" s="6"/>
      <x:c r="H150" s="6"/>
      <x:c r="I150" s="6"/>
      <x:c r="J150" s="6"/>
      <x:c r="K150" s="6"/>
      <x:c r="L150" s="6"/>
      <x:c r="M150" s="6"/>
      <x:c r="N150" s="6"/>
      <x:c r="O150" s="6"/>
      <x:c r="P150" s="6"/>
      <x:c r="Q150" s="6"/>
    </x:row>
    <x:row r="151" ht="19" customHeight="1">
      <x:c r="A151" s="6"/>
      <x:c r="B151" s="6"/>
      <x:c r="C151" s="6"/>
      <x:c r="D151" s="6"/>
      <x:c r="E151" s="6"/>
      <x:c r="F151" s="6"/>
      <x:c r="G151" s="6"/>
      <x:c r="H151" s="6"/>
      <x:c r="I151" s="6"/>
      <x:c r="J151" s="6"/>
      <x:c r="K151" s="6"/>
      <x:c r="L151" s="6"/>
      <x:c r="M151" s="6"/>
      <x:c r="N151" s="6"/>
      <x:c r="O151" s="6"/>
      <x:c r="P151" s="6"/>
      <x:c r="Q151" s="6"/>
    </x:row>
    <x:row r="152" ht="19" customHeight="1">
      <x:c r="A152" s="6"/>
      <x:c r="B152" s="6"/>
      <x:c r="C152" s="6"/>
      <x:c r="D152" s="6"/>
      <x:c r="E152" s="6"/>
      <x:c r="F152" s="6"/>
      <x:c r="G152" s="6"/>
      <x:c r="H152" s="6"/>
      <x:c r="I152" s="6"/>
      <x:c r="J152" s="6"/>
      <x:c r="K152" s="6"/>
      <x:c r="L152" s="6"/>
      <x:c r="M152" s="6"/>
      <x:c r="N152" s="6"/>
      <x:c r="O152" s="6"/>
      <x:c r="P152" s="6"/>
      <x:c r="Q152" s="6"/>
    </x:row>
    <x:row r="153" ht="19" customHeight="1">
      <x:c r="A153" s="6"/>
      <x:c r="B153" s="6"/>
      <x:c r="C153" s="6"/>
      <x:c r="D153" s="6"/>
      <x:c r="E153" s="6"/>
      <x:c r="F153" s="6"/>
      <x:c r="G153" s="6"/>
      <x:c r="H153" s="6"/>
      <x:c r="I153" s="6"/>
      <x:c r="J153" s="6"/>
      <x:c r="K153" s="6"/>
      <x:c r="L153" s="6"/>
      <x:c r="M153" s="6"/>
      <x:c r="N153" s="6"/>
      <x:c r="O153" s="6"/>
      <x:c r="P153" s="6"/>
      <x:c r="Q153" s="6"/>
    </x:row>
    <x:row r="154" ht="19" customHeight="1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  <x:c r="K154" s="6"/>
      <x:c r="L154" s="6"/>
      <x:c r="M154" s="6"/>
      <x:c r="N154" s="6"/>
      <x:c r="O154" s="6"/>
      <x:c r="P154" s="6"/>
      <x:c r="Q154" s="6"/>
    </x:row>
    <x:row r="155" ht="19" customHeight="1">
      <x:c r="A155" s="6"/>
      <x:c r="B155" s="6"/>
      <x:c r="C155" s="6"/>
      <x:c r="D155" s="6"/>
      <x:c r="E155" s="6"/>
      <x:c r="F155" s="6"/>
      <x:c r="G155" s="6"/>
      <x:c r="H155" s="6"/>
      <x:c r="I155" s="6"/>
      <x:c r="J155" s="6"/>
      <x:c r="K155" s="6"/>
      <x:c r="L155" s="6"/>
      <x:c r="M155" s="6"/>
      <x:c r="N155" s="6"/>
      <x:c r="O155" s="6"/>
      <x:c r="P155" s="6"/>
      <x:c r="Q155" s="6"/>
    </x:row>
    <x:row r="156" ht="19" customHeight="1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  <x:c r="K156" s="6"/>
      <x:c r="L156" s="6"/>
      <x:c r="M156" s="6"/>
      <x:c r="N156" s="6"/>
      <x:c r="O156" s="6"/>
      <x:c r="P156" s="6"/>
      <x:c r="Q156" s="6"/>
    </x:row>
    <x:row r="157" ht="19" customHeight="1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  <x:c r="K157" s="6"/>
      <x:c r="L157" s="6"/>
      <x:c r="M157" s="6"/>
      <x:c r="N157" s="6"/>
      <x:c r="O157" s="6"/>
      <x:c r="P157" s="6"/>
      <x:c r="Q157" s="6"/>
    </x:row>
    <x:row r="158" ht="19" customHeight="1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  <x:c r="K158" s="6"/>
      <x:c r="L158" s="6"/>
      <x:c r="M158" s="6"/>
      <x:c r="N158" s="6"/>
      <x:c r="O158" s="6"/>
      <x:c r="P158" s="6"/>
      <x:c r="Q158" s="6"/>
    </x:row>
    <x:row r="159" ht="19" customHeight="1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  <x:c r="K159" s="6"/>
      <x:c r="L159" s="6"/>
      <x:c r="M159" s="6"/>
      <x:c r="N159" s="6"/>
      <x:c r="O159" s="6"/>
      <x:c r="P159" s="6"/>
      <x:c r="Q159" s="6"/>
    </x:row>
    <x:row r="160" ht="19" customHeight="1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  <x:c r="K160" s="6"/>
      <x:c r="L160" s="6"/>
      <x:c r="M160" s="6"/>
      <x:c r="N160" s="6"/>
      <x:c r="O160" s="6"/>
      <x:c r="P160" s="6"/>
      <x:c r="Q160" s="6"/>
    </x:row>
    <x:row r="161" ht="19" customHeight="1">
      <x:c r="A161" s="6"/>
      <x:c r="B161" s="6"/>
      <x:c r="C161" s="6"/>
      <x:c r="D161" s="6"/>
      <x:c r="E161" s="6"/>
      <x:c r="F161" s="6"/>
      <x:c r="G161" s="6"/>
      <x:c r="H161" s="6"/>
      <x:c r="I161" s="6"/>
      <x:c r="J161" s="6"/>
      <x:c r="K161" s="6"/>
      <x:c r="L161" s="6"/>
      <x:c r="M161" s="6"/>
      <x:c r="N161" s="6"/>
      <x:c r="O161" s="6"/>
      <x:c r="P161" s="6"/>
      <x:c r="Q161" s="6"/>
    </x:row>
    <x:row r="162" ht="19" customHeight="1">
      <x:c r="A162" s="6"/>
      <x:c r="B162" s="6"/>
      <x:c r="C162" s="6"/>
      <x:c r="D162" s="6"/>
      <x:c r="E162" s="6"/>
      <x:c r="F162" s="6"/>
      <x:c r="G162" s="6"/>
      <x:c r="H162" s="6"/>
      <x:c r="I162" s="6"/>
      <x:c r="J162" s="6"/>
      <x:c r="K162" s="6"/>
      <x:c r="L162" s="6"/>
      <x:c r="M162" s="6"/>
      <x:c r="N162" s="6"/>
      <x:c r="O162" s="6"/>
      <x:c r="P162" s="6"/>
      <x:c r="Q162" s="6"/>
    </x:row>
    <x:row r="163" ht="19" customHeight="1">
      <x:c r="A163" s="6"/>
      <x:c r="B163" s="6"/>
      <x:c r="C163" s="6"/>
      <x:c r="D163" s="6"/>
      <x:c r="E163" s="6"/>
      <x:c r="F163" s="6"/>
      <x:c r="G163" s="6"/>
      <x:c r="H163" s="6"/>
      <x:c r="I163" s="6"/>
      <x:c r="J163" s="6"/>
      <x:c r="K163" s="6"/>
      <x:c r="L163" s="6"/>
      <x:c r="M163" s="6"/>
      <x:c r="N163" s="6"/>
      <x:c r="O163" s="6"/>
      <x:c r="P163" s="6"/>
      <x:c r="Q163" s="6"/>
    </x:row>
    <x:row r="164" ht="19" customHeight="1">
      <x:c r="A164" s="6"/>
      <x:c r="B164" s="6"/>
      <x:c r="C164" s="6"/>
      <x:c r="D164" s="6"/>
      <x:c r="E164" s="6"/>
      <x:c r="F164" s="6"/>
      <x:c r="G164" s="6"/>
      <x:c r="H164" s="6"/>
      <x:c r="I164" s="6"/>
      <x:c r="J164" s="6"/>
      <x:c r="K164" s="6"/>
      <x:c r="L164" s="6"/>
      <x:c r="M164" s="6"/>
      <x:c r="N164" s="6"/>
      <x:c r="O164" s="6"/>
      <x:c r="P164" s="6"/>
      <x:c r="Q164" s="6"/>
    </x:row>
    <x:row r="165" ht="19" customHeight="1">
      <x:c r="A165" s="6"/>
      <x:c r="B165" s="6"/>
      <x:c r="C165" s="6"/>
      <x:c r="D165" s="6"/>
      <x:c r="E165" s="6"/>
      <x:c r="F165" s="6"/>
      <x:c r="G165" s="6"/>
      <x:c r="H165" s="6"/>
      <x:c r="I165" s="6"/>
      <x:c r="J165" s="6"/>
      <x:c r="K165" s="6"/>
      <x:c r="L165" s="6"/>
      <x:c r="M165" s="6"/>
      <x:c r="N165" s="6"/>
      <x:c r="O165" s="6"/>
      <x:c r="P165" s="6"/>
      <x:c r="Q165" s="6"/>
    </x:row>
    <x:row r="166" ht="19" customHeight="1">
      <x:c r="A166" s="6"/>
      <x:c r="B166" s="6"/>
      <x:c r="C166" s="6"/>
      <x:c r="D166" s="6"/>
      <x:c r="E166" s="6"/>
      <x:c r="F166" s="6"/>
      <x:c r="G166" s="6"/>
      <x:c r="H166" s="6"/>
      <x:c r="I166" s="6"/>
      <x:c r="J166" s="6"/>
      <x:c r="K166" s="6"/>
      <x:c r="L166" s="6"/>
      <x:c r="M166" s="6"/>
      <x:c r="N166" s="6"/>
      <x:c r="O166" s="6"/>
      <x:c r="P166" s="6"/>
      <x:c r="Q166" s="6"/>
    </x:row>
    <x:row r="167" ht="19" customHeight="1">
      <x:c r="A167" s="6"/>
      <x:c r="B167" s="6"/>
      <x:c r="C167" s="6"/>
      <x:c r="D167" s="6"/>
      <x:c r="E167" s="6"/>
      <x:c r="F167" s="6"/>
      <x:c r="G167" s="6"/>
      <x:c r="H167" s="6"/>
      <x:c r="I167" s="6"/>
      <x:c r="J167" s="6"/>
      <x:c r="K167" s="6"/>
      <x:c r="L167" s="6"/>
      <x:c r="M167" s="6"/>
      <x:c r="N167" s="6"/>
      <x:c r="O167" s="6"/>
      <x:c r="P167" s="6"/>
      <x:c r="Q167" s="6"/>
    </x:row>
    <x:row r="168" ht="19" customHeight="1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  <x:c r="K168" s="6"/>
      <x:c r="L168" s="6"/>
      <x:c r="M168" s="6"/>
      <x:c r="N168" s="6"/>
      <x:c r="O168" s="6"/>
      <x:c r="P168" s="6"/>
      <x:c r="Q168" s="6"/>
    </x:row>
    <x:row r="169" ht="19" customHeight="1">
      <x:c r="A169" s="6"/>
      <x:c r="B169" s="6"/>
      <x:c r="C169" s="6"/>
      <x:c r="D169" s="6"/>
      <x:c r="E169" s="6"/>
      <x:c r="F169" s="6"/>
      <x:c r="G169" s="6"/>
      <x:c r="H169" s="6"/>
      <x:c r="I169" s="6"/>
      <x:c r="J169" s="6"/>
      <x:c r="K169" s="6"/>
      <x:c r="L169" s="6"/>
      <x:c r="M169" s="6"/>
      <x:c r="N169" s="6"/>
      <x:c r="O169" s="6"/>
      <x:c r="P169" s="6"/>
      <x:c r="Q169" s="6"/>
    </x:row>
    <x:row r="170" ht="19" customHeight="1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  <x:c r="K170" s="6"/>
      <x:c r="L170" s="6"/>
      <x:c r="M170" s="6"/>
      <x:c r="N170" s="6"/>
      <x:c r="O170" s="6"/>
      <x:c r="P170" s="6"/>
      <x:c r="Q170" s="6"/>
    </x:row>
    <x:row r="171" ht="19" customHeight="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  <x:c r="M171" s="6"/>
      <x:c r="N171" s="6"/>
      <x:c r="O171" s="6"/>
      <x:c r="P171" s="6"/>
      <x:c r="Q171" s="6"/>
    </x:row>
    <x:row r="172" ht="19" customHeight="1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  <x:c r="K172" s="6"/>
      <x:c r="L172" s="6"/>
      <x:c r="M172" s="6"/>
      <x:c r="N172" s="6"/>
      <x:c r="O172" s="6"/>
      <x:c r="P172" s="6"/>
      <x:c r="Q172" s="6"/>
    </x:row>
    <x:row r="173" ht="19" customHeight="1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  <x:c r="K173" s="6"/>
      <x:c r="L173" s="6"/>
      <x:c r="M173" s="6"/>
      <x:c r="N173" s="6"/>
      <x:c r="O173" s="6"/>
      <x:c r="P173" s="6"/>
      <x:c r="Q173" s="6"/>
    </x:row>
    <x:row r="174" ht="19" customHeight="1">
      <x:c r="A174" s="6"/>
      <x:c r="B174" s="6"/>
      <x:c r="C174" s="6"/>
      <x:c r="D174" s="6"/>
      <x:c r="E174" s="6"/>
      <x:c r="F174" s="6"/>
      <x:c r="G174" s="6"/>
      <x:c r="H174" s="6"/>
      <x:c r="I174" s="6"/>
      <x:c r="J174" s="6"/>
      <x:c r="K174" s="6"/>
      <x:c r="L174" s="6"/>
      <x:c r="M174" s="6"/>
      <x:c r="N174" s="6"/>
      <x:c r="O174" s="6"/>
      <x:c r="P174" s="6"/>
      <x:c r="Q174" s="6"/>
    </x:row>
    <x:row r="175" ht="19" customHeight="1">
      <x:c r="A175" s="6"/>
      <x:c r="B175" s="6"/>
      <x:c r="C175" s="6"/>
      <x:c r="D175" s="6"/>
      <x:c r="E175" s="6"/>
      <x:c r="F175" s="6"/>
      <x:c r="G175" s="6"/>
      <x:c r="H175" s="6"/>
      <x:c r="I175" s="6"/>
      <x:c r="J175" s="6"/>
      <x:c r="K175" s="6"/>
      <x:c r="L175" s="6"/>
      <x:c r="M175" s="6"/>
      <x:c r="N175" s="6"/>
      <x:c r="O175" s="6"/>
      <x:c r="P175" s="6"/>
      <x:c r="Q175" s="6"/>
    </x:row>
    <x:row r="176" ht="19" customHeight="1">
      <x:c r="A176" s="6"/>
      <x:c r="B176" s="6"/>
      <x:c r="C176" s="6"/>
      <x:c r="D176" s="6"/>
      <x:c r="E176" s="6"/>
      <x:c r="F176" s="6"/>
      <x:c r="G176" s="6"/>
      <x:c r="H176" s="6"/>
      <x:c r="I176" s="6"/>
      <x:c r="J176" s="6"/>
      <x:c r="K176" s="6"/>
      <x:c r="L176" s="6"/>
      <x:c r="M176" s="6"/>
      <x:c r="N176" s="6"/>
      <x:c r="O176" s="6"/>
      <x:c r="P176" s="6"/>
      <x:c r="Q176" s="6"/>
    </x:row>
    <x:row r="177" ht="19" customHeight="1">
      <x:c r="A177" s="6"/>
      <x:c r="B177" s="6"/>
      <x:c r="C177" s="6"/>
      <x:c r="D177" s="6"/>
      <x:c r="E177" s="6"/>
      <x:c r="F177" s="6"/>
      <x:c r="G177" s="6"/>
      <x:c r="H177" s="6"/>
      <x:c r="I177" s="6"/>
      <x:c r="J177" s="6"/>
      <x:c r="K177" s="6"/>
      <x:c r="L177" s="6"/>
      <x:c r="M177" s="6"/>
      <x:c r="N177" s="6"/>
      <x:c r="O177" s="6"/>
      <x:c r="P177" s="6"/>
      <x:c r="Q177" s="6"/>
    </x:row>
    <x:row r="178" ht="19" customHeight="1">
      <x:c r="A178" s="6"/>
      <x:c r="B178" s="6"/>
      <x:c r="C178" s="6"/>
      <x:c r="D178" s="6"/>
      <x:c r="E178" s="6"/>
      <x:c r="F178" s="6"/>
      <x:c r="G178" s="6"/>
      <x:c r="H178" s="6"/>
      <x:c r="I178" s="6"/>
      <x:c r="J178" s="6"/>
      <x:c r="K178" s="6"/>
      <x:c r="L178" s="6"/>
      <x:c r="M178" s="6"/>
      <x:c r="N178" s="6"/>
      <x:c r="O178" s="6"/>
      <x:c r="P178" s="6"/>
      <x:c r="Q178" s="6"/>
    </x:row>
    <x:row r="179" ht="19" customHeight="1">
      <x:c r="A179" s="6"/>
      <x:c r="B179" s="6"/>
      <x:c r="C179" s="6"/>
      <x:c r="D179" s="6"/>
      <x:c r="E179" s="6"/>
      <x:c r="F179" s="6"/>
      <x:c r="G179" s="6"/>
      <x:c r="H179" s="6"/>
      <x:c r="I179" s="6"/>
      <x:c r="J179" s="6"/>
      <x:c r="K179" s="6"/>
      <x:c r="L179" s="6"/>
      <x:c r="M179" s="6"/>
      <x:c r="N179" s="6"/>
      <x:c r="O179" s="6"/>
      <x:c r="P179" s="6"/>
      <x:c r="Q179" s="6"/>
    </x:row>
    <x:row r="180" ht="19" customHeight="1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  <x:c r="K180" s="6"/>
      <x:c r="L180" s="6"/>
      <x:c r="M180" s="6"/>
      <x:c r="N180" s="6"/>
      <x:c r="O180" s="6"/>
      <x:c r="P180" s="6"/>
      <x:c r="Q180" s="6"/>
    </x:row>
    <x:row r="181" ht="19" customHeight="1">
      <x:c r="A181" s="6"/>
      <x:c r="B181" s="6"/>
      <x:c r="C181" s="6"/>
      <x:c r="D181" s="6"/>
      <x:c r="E181" s="6"/>
      <x:c r="F181" s="6"/>
      <x:c r="G181" s="6"/>
      <x:c r="H181" s="6"/>
      <x:c r="I181" s="6"/>
      <x:c r="J181" s="6"/>
      <x:c r="K181" s="6"/>
      <x:c r="L181" s="6"/>
      <x:c r="M181" s="6"/>
      <x:c r="N181" s="6"/>
      <x:c r="O181" s="6"/>
      <x:c r="P181" s="6"/>
      <x:c r="Q181" s="6"/>
    </x:row>
    <x:row r="182" ht="19" customHeight="1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  <x:c r="K182" s="6"/>
      <x:c r="L182" s="6"/>
      <x:c r="M182" s="6"/>
      <x:c r="N182" s="6"/>
      <x:c r="O182" s="6"/>
      <x:c r="P182" s="6"/>
      <x:c r="Q182" s="6"/>
    </x:row>
    <x:row r="183" ht="19" customHeight="1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  <x:c r="M183" s="6"/>
      <x:c r="N183" s="6"/>
      <x:c r="O183" s="6"/>
      <x:c r="P183" s="6"/>
      <x:c r="Q183" s="6"/>
    </x:row>
    <x:row r="184" ht="19" customHeight="1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  <x:c r="K184" s="6"/>
      <x:c r="L184" s="6"/>
      <x:c r="M184" s="6"/>
      <x:c r="N184" s="6"/>
      <x:c r="O184" s="6"/>
      <x:c r="P184" s="6"/>
      <x:c r="Q184" s="6"/>
    </x:row>
    <x:row r="185" ht="19" customHeight="1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  <x:c r="M185" s="6"/>
      <x:c r="N185" s="6"/>
      <x:c r="O185" s="6"/>
      <x:c r="P185" s="6"/>
      <x:c r="Q185" s="6"/>
    </x:row>
    <x:row r="186" ht="19" customHeight="1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  <x:c r="K186" s="6"/>
      <x:c r="L186" s="6"/>
      <x:c r="M186" s="6"/>
      <x:c r="N186" s="6"/>
      <x:c r="O186" s="6"/>
      <x:c r="P186" s="6"/>
      <x:c r="Q186" s="6"/>
    </x:row>
    <x:row r="187" ht="19" customHeight="1">
      <x:c r="A187" s="6"/>
      <x:c r="B187" s="6"/>
      <x:c r="C187" s="6"/>
      <x:c r="D187" s="6"/>
      <x:c r="E187" s="6"/>
      <x:c r="F187" s="6"/>
      <x:c r="G187" s="6"/>
      <x:c r="H187" s="6"/>
      <x:c r="I187" s="6"/>
      <x:c r="J187" s="6"/>
      <x:c r="K187" s="6"/>
      <x:c r="L187" s="6"/>
      <x:c r="M187" s="6"/>
      <x:c r="N187" s="6"/>
      <x:c r="O187" s="6"/>
      <x:c r="P187" s="6"/>
      <x:c r="Q187" s="6"/>
    </x:row>
    <x:row r="188" ht="19" customHeight="1">
      <x:c r="A188" s="6"/>
      <x:c r="B188" s="6"/>
      <x:c r="C188" s="6"/>
      <x:c r="D188" s="6"/>
      <x:c r="E188" s="6"/>
      <x:c r="F188" s="6"/>
      <x:c r="G188" s="6"/>
      <x:c r="H188" s="6"/>
      <x:c r="I188" s="6"/>
      <x:c r="J188" s="6"/>
      <x:c r="K188" s="6"/>
      <x:c r="L188" s="6"/>
      <x:c r="M188" s="6"/>
      <x:c r="N188" s="6"/>
      <x:c r="O188" s="6"/>
      <x:c r="P188" s="6"/>
      <x:c r="Q188" s="6"/>
    </x:row>
    <x:row r="189" ht="19" customHeight="1">
      <x:c r="A189" s="6"/>
      <x:c r="B189" s="6"/>
      <x:c r="C189" s="6"/>
      <x:c r="D189" s="6"/>
      <x:c r="E189" s="6"/>
      <x:c r="F189" s="6"/>
      <x:c r="G189" s="6"/>
      <x:c r="H189" s="6"/>
      <x:c r="I189" s="6"/>
      <x:c r="J189" s="6"/>
      <x:c r="K189" s="6"/>
      <x:c r="L189" s="6"/>
      <x:c r="M189" s="6"/>
      <x:c r="N189" s="6"/>
      <x:c r="O189" s="6"/>
      <x:c r="P189" s="6"/>
      <x:c r="Q189" s="6"/>
    </x:row>
    <x:row r="190" ht="19" customHeight="1">
      <x:c r="A190" s="6"/>
      <x:c r="B190" s="6"/>
      <x:c r="C190" s="6"/>
      <x:c r="D190" s="6"/>
      <x:c r="E190" s="6"/>
      <x:c r="F190" s="6"/>
      <x:c r="G190" s="6"/>
      <x:c r="H190" s="6"/>
      <x:c r="I190" s="6"/>
      <x:c r="J190" s="6"/>
      <x:c r="K190" s="6"/>
      <x:c r="L190" s="6"/>
      <x:c r="M190" s="6"/>
      <x:c r="N190" s="6"/>
      <x:c r="O190" s="6"/>
      <x:c r="P190" s="6"/>
      <x:c r="Q190" s="6"/>
    </x:row>
    <x:row r="191" ht="19" customHeight="1">
      <x:c r="A191" s="6"/>
      <x:c r="B191" s="6"/>
      <x:c r="C191" s="6"/>
      <x:c r="D191" s="6"/>
      <x:c r="E191" s="6"/>
      <x:c r="F191" s="6"/>
      <x:c r="G191" s="6"/>
      <x:c r="H191" s="6"/>
      <x:c r="I191" s="6"/>
      <x:c r="J191" s="6"/>
      <x:c r="K191" s="6"/>
      <x:c r="L191" s="6"/>
      <x:c r="M191" s="6"/>
      <x:c r="N191" s="6"/>
      <x:c r="O191" s="6"/>
      <x:c r="P191" s="6"/>
      <x:c r="Q191" s="6"/>
    </x:row>
    <x:row r="192" ht="19" customHeight="1">
      <x:c r="A192" s="6"/>
      <x:c r="B192" s="6"/>
      <x:c r="C192" s="6"/>
      <x:c r="D192" s="6"/>
      <x:c r="E192" s="6"/>
      <x:c r="F192" s="6"/>
      <x:c r="G192" s="6"/>
      <x:c r="H192" s="6"/>
      <x:c r="I192" s="6"/>
      <x:c r="J192" s="6"/>
      <x:c r="K192" s="6"/>
      <x:c r="L192" s="6"/>
      <x:c r="M192" s="6"/>
      <x:c r="N192" s="6"/>
      <x:c r="O192" s="6"/>
      <x:c r="P192" s="6"/>
      <x:c r="Q192" s="6"/>
    </x:row>
    <x:row r="193" ht="19" customHeight="1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  <x:c r="M193" s="6"/>
      <x:c r="N193" s="6"/>
      <x:c r="O193" s="6"/>
      <x:c r="P193" s="6"/>
      <x:c r="Q193" s="6"/>
    </x:row>
    <x:row r="194" ht="19" customHeight="1">
      <x:c r="A194" s="6"/>
      <x:c r="B194" s="6"/>
      <x:c r="C194" s="6"/>
      <x:c r="D194" s="6"/>
      <x:c r="E194" s="6"/>
      <x:c r="F194" s="6"/>
      <x:c r="G194" s="6"/>
      <x:c r="H194" s="6"/>
      <x:c r="I194" s="6"/>
      <x:c r="J194" s="6"/>
      <x:c r="K194" s="6"/>
      <x:c r="L194" s="6"/>
      <x:c r="M194" s="6"/>
      <x:c r="N194" s="6"/>
      <x:c r="O194" s="6"/>
      <x:c r="P194" s="6"/>
      <x:c r="Q194" s="6"/>
    </x:row>
    <x:row r="195" ht="19" customHeight="1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  <x:c r="M195" s="6"/>
      <x:c r="N195" s="6"/>
      <x:c r="O195" s="6"/>
      <x:c r="P195" s="6"/>
      <x:c r="Q195" s="6"/>
    </x:row>
    <x:row r="196" ht="19" customHeight="1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  <x:c r="K196" s="6"/>
      <x:c r="L196" s="6"/>
      <x:c r="M196" s="6"/>
      <x:c r="N196" s="6"/>
      <x:c r="O196" s="6"/>
      <x:c r="P196" s="6"/>
      <x:c r="Q196" s="6"/>
    </x:row>
    <x:row r="197" ht="19" customHeight="1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  <x:c r="K197" s="6"/>
      <x:c r="L197" s="6"/>
      <x:c r="M197" s="6"/>
      <x:c r="N197" s="6"/>
      <x:c r="O197" s="6"/>
      <x:c r="P197" s="6"/>
      <x:c r="Q197" s="6"/>
    </x:row>
    <x:row r="198" ht="19" customHeight="1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  <x:c r="K198" s="6"/>
      <x:c r="L198" s="6"/>
      <x:c r="M198" s="6"/>
      <x:c r="N198" s="6"/>
      <x:c r="O198" s="6"/>
      <x:c r="P198" s="6"/>
      <x:c r="Q198" s="6"/>
    </x:row>
    <x:row r="199" ht="19" customHeight="1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  <x:c r="K199" s="6"/>
      <x:c r="L199" s="6"/>
      <x:c r="M199" s="6"/>
      <x:c r="N199" s="6"/>
      <x:c r="O199" s="6"/>
      <x:c r="P199" s="6"/>
      <x:c r="Q199" s="6"/>
    </x:row>
    <x:row r="200" ht="19" customHeight="1">
      <x:c r="A200" s="6"/>
      <x:c r="B200" s="6"/>
      <x:c r="C200" s="6"/>
      <x:c r="D200" s="6"/>
      <x:c r="E200" s="6"/>
      <x:c r="F200" s="6"/>
      <x:c r="G200" s="6"/>
      <x:c r="H200" s="6"/>
      <x:c r="I200" s="6"/>
      <x:c r="J200" s="6"/>
      <x:c r="K200" s="6"/>
      <x:c r="L200" s="6"/>
      <x:c r="M200" s="6"/>
      <x:c r="N200" s="6"/>
      <x:c r="O200" s="6"/>
      <x:c r="P200" s="6"/>
      <x:c r="Q200" s="6"/>
    </x:row>
    <x:row r="201" ht="19" customHeight="1">
      <x:c r="A201" s="6"/>
      <x:c r="B201" s="6"/>
      <x:c r="C201" s="6"/>
      <x:c r="D201" s="6"/>
      <x:c r="E201" s="6"/>
      <x:c r="F201" s="6"/>
      <x:c r="G201" s="6"/>
      <x:c r="H201" s="6"/>
      <x:c r="I201" s="6"/>
      <x:c r="J201" s="6"/>
      <x:c r="K201" s="6"/>
      <x:c r="L201" s="6"/>
      <x:c r="M201" s="6"/>
      <x:c r="N201" s="6"/>
      <x:c r="O201" s="6"/>
      <x:c r="P201" s="6"/>
      <x:c r="Q201" s="6"/>
    </x:row>
    <x:row r="202" ht="19" customHeight="1">
      <x:c r="A202" s="6"/>
      <x:c r="B202" s="6"/>
      <x:c r="C202" s="6"/>
      <x:c r="D202" s="6"/>
      <x:c r="E202" s="6"/>
      <x:c r="F202" s="6"/>
      <x:c r="G202" s="6"/>
      <x:c r="H202" s="6"/>
      <x:c r="I202" s="6"/>
      <x:c r="J202" s="6"/>
      <x:c r="K202" s="6"/>
      <x:c r="L202" s="6"/>
      <x:c r="M202" s="6"/>
      <x:c r="N202" s="6"/>
      <x:c r="O202" s="6"/>
      <x:c r="P202" s="6"/>
      <x:c r="Q202" s="6"/>
    </x:row>
    <x:row r="203" ht="19" customHeight="1">
      <x:c r="A203" s="6"/>
      <x:c r="B203" s="6"/>
      <x:c r="C203" s="6"/>
      <x:c r="D203" s="6"/>
      <x:c r="E203" s="6"/>
      <x:c r="F203" s="6"/>
      <x:c r="G203" s="6"/>
      <x:c r="H203" s="6"/>
      <x:c r="I203" s="6"/>
      <x:c r="J203" s="6"/>
      <x:c r="K203" s="6"/>
      <x:c r="L203" s="6"/>
      <x:c r="M203" s="6"/>
      <x:c r="N203" s="6"/>
      <x:c r="O203" s="6"/>
      <x:c r="P203" s="6"/>
      <x:c r="Q203" s="6"/>
    </x:row>
    <x:row r="204" ht="19" customHeight="1">
      <x:c r="A204" s="6"/>
      <x:c r="B204" s="6"/>
      <x:c r="C204" s="6"/>
      <x:c r="D204" s="6"/>
      <x:c r="E204" s="6"/>
      <x:c r="F204" s="6"/>
      <x:c r="G204" s="6"/>
      <x:c r="H204" s="6"/>
      <x:c r="I204" s="6"/>
      <x:c r="J204" s="6"/>
      <x:c r="K204" s="6"/>
      <x:c r="L204" s="6"/>
      <x:c r="M204" s="6"/>
      <x:c r="N204" s="6"/>
      <x:c r="O204" s="6"/>
      <x:c r="P204" s="6"/>
      <x:c r="Q204" s="6"/>
    </x:row>
    <x:row r="205" ht="19" customHeight="1">
      <x:c r="A205" s="6"/>
      <x:c r="B205" s="6"/>
      <x:c r="C205" s="6"/>
      <x:c r="D205" s="6"/>
      <x:c r="E205" s="6"/>
      <x:c r="F205" s="6"/>
      <x:c r="G205" s="6"/>
      <x:c r="H205" s="6"/>
      <x:c r="I205" s="6"/>
      <x:c r="J205" s="6"/>
      <x:c r="K205" s="6"/>
      <x:c r="L205" s="6"/>
      <x:c r="M205" s="6"/>
      <x:c r="N205" s="6"/>
      <x:c r="O205" s="6"/>
      <x:c r="P205" s="6"/>
      <x:c r="Q205" s="6"/>
    </x:row>
    <x:row r="206" ht="19" customHeight="1">
      <x:c r="A206" s="6"/>
      <x:c r="B206" s="6"/>
      <x:c r="C206" s="6"/>
      <x:c r="D206" s="6"/>
      <x:c r="E206" s="6"/>
      <x:c r="F206" s="6"/>
      <x:c r="G206" s="6"/>
      <x:c r="H206" s="6"/>
      <x:c r="I206" s="6"/>
      <x:c r="J206" s="6"/>
      <x:c r="K206" s="6"/>
      <x:c r="L206" s="6"/>
      <x:c r="M206" s="6"/>
      <x:c r="N206" s="6"/>
      <x:c r="O206" s="6"/>
      <x:c r="P206" s="6"/>
      <x:c r="Q206" s="6"/>
    </x:row>
    <x:row r="207" ht="19" customHeight="1">
      <x:c r="A207" s="6"/>
      <x:c r="B207" s="6"/>
      <x:c r="C207" s="6"/>
      <x:c r="D207" s="6"/>
      <x:c r="E207" s="6"/>
      <x:c r="F207" s="6"/>
      <x:c r="G207" s="6"/>
      <x:c r="H207" s="6"/>
      <x:c r="I207" s="6"/>
      <x:c r="J207" s="6"/>
      <x:c r="K207" s="6"/>
      <x:c r="L207" s="6"/>
      <x:c r="M207" s="6"/>
      <x:c r="N207" s="6"/>
      <x:c r="O207" s="6"/>
      <x:c r="P207" s="6"/>
      <x:c r="Q207" s="6"/>
    </x:row>
    <x:row r="208" ht="19" customHeight="1">
      <x:c r="A208" s="6"/>
      <x:c r="B208" s="6"/>
      <x:c r="C208" s="6"/>
      <x:c r="D208" s="6"/>
      <x:c r="E208" s="6"/>
      <x:c r="F208" s="6"/>
      <x:c r="G208" s="6"/>
      <x:c r="H208" s="6"/>
      <x:c r="I208" s="6"/>
      <x:c r="J208" s="6"/>
      <x:c r="K208" s="6"/>
      <x:c r="L208" s="6"/>
      <x:c r="M208" s="6"/>
      <x:c r="N208" s="6"/>
      <x:c r="O208" s="6"/>
      <x:c r="P208" s="6"/>
      <x:c r="Q208" s="6"/>
    </x:row>
    <x:row r="209" ht="19" customHeight="1">
      <x:c r="A209" s="6"/>
      <x:c r="B209" s="6"/>
      <x:c r="C209" s="6"/>
      <x:c r="D209" s="6"/>
      <x:c r="E209" s="6"/>
      <x:c r="F209" s="6"/>
      <x:c r="G209" s="6"/>
      <x:c r="H209" s="6"/>
      <x:c r="I209" s="6"/>
      <x:c r="J209" s="6"/>
      <x:c r="K209" s="6"/>
      <x:c r="L209" s="6"/>
      <x:c r="M209" s="6"/>
      <x:c r="N209" s="6"/>
      <x:c r="O209" s="6"/>
      <x:c r="P209" s="6"/>
      <x:c r="Q209" s="6"/>
    </x:row>
    <x:row r="210" ht="19" customHeight="1">
      <x:c r="A210" s="6"/>
      <x:c r="B210" s="6"/>
      <x:c r="C210" s="6"/>
      <x:c r="D210" s="6"/>
      <x:c r="E210" s="6"/>
      <x:c r="F210" s="6"/>
      <x:c r="G210" s="6"/>
      <x:c r="H210" s="6"/>
      <x:c r="I210" s="6"/>
      <x:c r="J210" s="6"/>
      <x:c r="K210" s="6"/>
      <x:c r="L210" s="6"/>
      <x:c r="M210" s="6"/>
      <x:c r="N210" s="6"/>
      <x:c r="O210" s="6"/>
      <x:c r="P210" s="6"/>
      <x:c r="Q210" s="6"/>
    </x:row>
    <x:row r="211" ht="19" customHeight="1">
      <x:c r="A211" s="6"/>
      <x:c r="B211" s="6"/>
      <x:c r="C211" s="6"/>
      <x:c r="D211" s="6"/>
      <x:c r="E211" s="6"/>
      <x:c r="F211" s="6"/>
      <x:c r="G211" s="6"/>
      <x:c r="H211" s="6"/>
      <x:c r="I211" s="6"/>
      <x:c r="J211" s="6"/>
      <x:c r="K211" s="6"/>
      <x:c r="L211" s="6"/>
      <x:c r="M211" s="6"/>
      <x:c r="N211" s="6"/>
      <x:c r="O211" s="6"/>
      <x:c r="P211" s="6"/>
      <x:c r="Q211" s="6"/>
    </x:row>
    <x:row r="212" ht="19" customHeight="1">
      <x:c r="A212" s="6"/>
      <x:c r="B212" s="6"/>
      <x:c r="C212" s="6"/>
      <x:c r="D212" s="6"/>
      <x:c r="E212" s="6"/>
      <x:c r="F212" s="6"/>
      <x:c r="G212" s="6"/>
      <x:c r="H212" s="6"/>
      <x:c r="I212" s="6"/>
      <x:c r="J212" s="6"/>
      <x:c r="K212" s="6"/>
      <x:c r="L212" s="6"/>
      <x:c r="M212" s="6"/>
      <x:c r="N212" s="6"/>
      <x:c r="O212" s="6"/>
      <x:c r="P212" s="6"/>
      <x:c r="Q212" s="6"/>
    </x:row>
    <x:row r="213" ht="19" customHeight="1">
      <x:c r="A213" s="6"/>
      <x:c r="B213" s="6"/>
      <x:c r="C213" s="6"/>
      <x:c r="D213" s="6"/>
      <x:c r="E213" s="6"/>
      <x:c r="F213" s="6"/>
      <x:c r="G213" s="6"/>
      <x:c r="H213" s="6"/>
      <x:c r="I213" s="6"/>
      <x:c r="J213" s="6"/>
      <x:c r="K213" s="6"/>
      <x:c r="L213" s="6"/>
      <x:c r="M213" s="6"/>
      <x:c r="N213" s="6"/>
      <x:c r="O213" s="6"/>
      <x:c r="P213" s="6"/>
      <x:c r="Q213" s="6"/>
    </x:row>
    <x:row r="214" ht="19" customHeight="1">
      <x:c r="A214" s="6"/>
      <x:c r="B214" s="6"/>
      <x:c r="C214" s="6"/>
      <x:c r="D214" s="6"/>
      <x:c r="E214" s="6"/>
      <x:c r="F214" s="6"/>
      <x:c r="G214" s="6"/>
      <x:c r="H214" s="6"/>
      <x:c r="I214" s="6"/>
      <x:c r="J214" s="6"/>
      <x:c r="K214" s="6"/>
      <x:c r="L214" s="6"/>
      <x:c r="M214" s="6"/>
      <x:c r="N214" s="6"/>
      <x:c r="O214" s="6"/>
      <x:c r="P214" s="6"/>
      <x:c r="Q214" s="6"/>
    </x:row>
    <x:row r="215" ht="19" customHeight="1">
      <x:c r="A215" s="6"/>
      <x:c r="B215" s="6"/>
      <x:c r="C215" s="6"/>
      <x:c r="D215" s="6"/>
      <x:c r="E215" s="6"/>
      <x:c r="F215" s="6"/>
      <x:c r="G215" s="6"/>
      <x:c r="H215" s="6"/>
      <x:c r="I215" s="6"/>
      <x:c r="J215" s="6"/>
      <x:c r="K215" s="6"/>
      <x:c r="L215" s="6"/>
      <x:c r="M215" s="6"/>
      <x:c r="N215" s="6"/>
      <x:c r="O215" s="6"/>
      <x:c r="P215" s="6"/>
      <x:c r="Q215" s="6"/>
    </x:row>
    <x:row r="216" ht="19" customHeight="1">
      <x:c r="A216" s="6"/>
      <x:c r="B216" s="6"/>
      <x:c r="C216" s="6"/>
      <x:c r="D216" s="6"/>
      <x:c r="E216" s="6"/>
      <x:c r="F216" s="6"/>
      <x:c r="G216" s="6"/>
      <x:c r="H216" s="6"/>
      <x:c r="I216" s="6"/>
      <x:c r="J216" s="6"/>
      <x:c r="K216" s="6"/>
      <x:c r="L216" s="6"/>
      <x:c r="M216" s="6"/>
      <x:c r="N216" s="6"/>
      <x:c r="O216" s="6"/>
      <x:c r="P216" s="6"/>
      <x:c r="Q216" s="6"/>
    </x:row>
    <x:row r="217" ht="19" customHeight="1">
      <x:c r="A217" s="6"/>
      <x:c r="B217" s="6"/>
      <x:c r="C217" s="6"/>
      <x:c r="D217" s="6"/>
      <x:c r="E217" s="6"/>
      <x:c r="F217" s="6"/>
      <x:c r="G217" s="6"/>
      <x:c r="H217" s="6"/>
      <x:c r="I217" s="6"/>
      <x:c r="J217" s="6"/>
      <x:c r="K217" s="6"/>
      <x:c r="L217" s="6"/>
      <x:c r="M217" s="6"/>
      <x:c r="N217" s="6"/>
      <x:c r="O217" s="6"/>
      <x:c r="P217" s="6"/>
      <x:c r="Q217" s="6"/>
    </x:row>
    <x:row r="218" ht="19" customHeight="1">
      <x:c r="A218" s="6"/>
      <x:c r="B218" s="6"/>
      <x:c r="C218" s="6"/>
      <x:c r="D218" s="6"/>
      <x:c r="E218" s="6"/>
      <x:c r="F218" s="6"/>
      <x:c r="G218" s="6"/>
      <x:c r="H218" s="6"/>
      <x:c r="I218" s="6"/>
      <x:c r="J218" s="6"/>
      <x:c r="K218" s="6"/>
      <x:c r="L218" s="6"/>
      <x:c r="M218" s="6"/>
      <x:c r="N218" s="6"/>
      <x:c r="O218" s="6"/>
      <x:c r="P218" s="6"/>
      <x:c r="Q218" s="6"/>
    </x:row>
    <x:row r="219" ht="19" customHeight="1">
      <x:c r="A219" s="6"/>
      <x:c r="B219" s="6"/>
      <x:c r="C219" s="6"/>
      <x:c r="D219" s="6"/>
      <x:c r="E219" s="6"/>
      <x:c r="F219" s="6"/>
      <x:c r="G219" s="6"/>
      <x:c r="H219" s="6"/>
      <x:c r="I219" s="6"/>
      <x:c r="J219" s="6"/>
      <x:c r="K219" s="6"/>
      <x:c r="L219" s="6"/>
      <x:c r="M219" s="6"/>
      <x:c r="N219" s="6"/>
      <x:c r="O219" s="6"/>
      <x:c r="P219" s="6"/>
      <x:c r="Q219" s="6"/>
    </x:row>
    <x:row r="220" ht="19" customHeight="1">
      <x:c r="A220" s="6"/>
      <x:c r="B220" s="6"/>
      <x:c r="C220" s="6"/>
      <x:c r="D220" s="6"/>
      <x:c r="E220" s="6"/>
      <x:c r="F220" s="6"/>
      <x:c r="G220" s="6"/>
      <x:c r="H220" s="6"/>
      <x:c r="I220" s="6"/>
      <x:c r="J220" s="6"/>
      <x:c r="K220" s="6"/>
      <x:c r="L220" s="6"/>
      <x:c r="M220" s="6"/>
      <x:c r="N220" s="6"/>
      <x:c r="O220" s="6"/>
      <x:c r="P220" s="6"/>
      <x:c r="Q220" s="6"/>
    </x:row>
    <x:row r="221" ht="19" customHeight="1">
      <x:c r="A221" s="6"/>
      <x:c r="B221" s="6"/>
      <x:c r="C221" s="6"/>
      <x:c r="D221" s="6"/>
      <x:c r="E221" s="6"/>
      <x:c r="F221" s="6"/>
      <x:c r="G221" s="6"/>
      <x:c r="H221" s="6"/>
      <x:c r="I221" s="6"/>
      <x:c r="J221" s="6"/>
      <x:c r="K221" s="6"/>
      <x:c r="L221" s="6"/>
      <x:c r="M221" s="6"/>
      <x:c r="N221" s="6"/>
      <x:c r="O221" s="6"/>
      <x:c r="P221" s="6"/>
      <x:c r="Q221" s="6"/>
    </x:row>
    <x:row r="222" ht="19" customHeight="1">
      <x:c r="A222" s="6"/>
      <x:c r="B222" s="6"/>
      <x:c r="C222" s="6"/>
      <x:c r="D222" s="6"/>
      <x:c r="E222" s="6"/>
      <x:c r="F222" s="6"/>
      <x:c r="G222" s="6"/>
      <x:c r="H222" s="6"/>
      <x:c r="I222" s="6"/>
      <x:c r="J222" s="6"/>
      <x:c r="K222" s="6"/>
      <x:c r="L222" s="6"/>
      <x:c r="M222" s="6"/>
      <x:c r="N222" s="6"/>
      <x:c r="O222" s="6"/>
      <x:c r="P222" s="6"/>
      <x:c r="Q222" s="6"/>
    </x:row>
    <x:row r="223" ht="19" customHeight="1">
      <x:c r="A223" s="6"/>
      <x:c r="B223" s="6"/>
      <x:c r="C223" s="6"/>
      <x:c r="D223" s="6"/>
      <x:c r="E223" s="6"/>
      <x:c r="F223" s="6"/>
      <x:c r="G223" s="6"/>
      <x:c r="H223" s="6"/>
      <x:c r="I223" s="6"/>
      <x:c r="J223" s="6"/>
      <x:c r="K223" s="6"/>
      <x:c r="L223" s="6"/>
      <x:c r="M223" s="6"/>
      <x:c r="N223" s="6"/>
      <x:c r="O223" s="6"/>
      <x:c r="P223" s="6"/>
      <x:c r="Q223" s="6"/>
    </x:row>
    <x:row r="224" ht="19" customHeight="1">
      <x:c r="A224" s="6"/>
      <x:c r="B224" s="6"/>
      <x:c r="C224" s="6"/>
      <x:c r="D224" s="6"/>
      <x:c r="E224" s="6"/>
      <x:c r="F224" s="6"/>
      <x:c r="G224" s="6"/>
      <x:c r="H224" s="6"/>
      <x:c r="I224" s="6"/>
      <x:c r="J224" s="6"/>
      <x:c r="K224" s="6"/>
      <x:c r="L224" s="6"/>
      <x:c r="M224" s="6"/>
      <x:c r="N224" s="6"/>
      <x:c r="O224" s="6"/>
      <x:c r="P224" s="6"/>
      <x:c r="Q224" s="6"/>
    </x:row>
    <x:row r="225" ht="19" customHeight="1">
      <x:c r="A225" s="6"/>
      <x:c r="B225" s="6"/>
      <x:c r="C225" s="6"/>
      <x:c r="D225" s="6"/>
      <x:c r="E225" s="6"/>
      <x:c r="F225" s="6"/>
      <x:c r="G225" s="6"/>
      <x:c r="H225" s="6"/>
      <x:c r="I225" s="6"/>
      <x:c r="J225" s="6"/>
      <x:c r="K225" s="6"/>
      <x:c r="L225" s="6"/>
      <x:c r="M225" s="6"/>
      <x:c r="N225" s="6"/>
      <x:c r="O225" s="6"/>
      <x:c r="P225" s="6"/>
      <x:c r="Q225" s="6"/>
    </x:row>
    <x:row r="226" ht="19" customHeight="1">
      <x:c r="A226" s="6"/>
      <x:c r="B226" s="6"/>
      <x:c r="C226" s="6"/>
      <x:c r="D226" s="6"/>
      <x:c r="E226" s="6"/>
      <x:c r="F226" s="6"/>
      <x:c r="G226" s="6"/>
      <x:c r="H226" s="6"/>
      <x:c r="I226" s="6"/>
      <x:c r="J226" s="6"/>
      <x:c r="K226" s="6"/>
      <x:c r="L226" s="6"/>
      <x:c r="M226" s="6"/>
      <x:c r="N226" s="6"/>
      <x:c r="O226" s="6"/>
      <x:c r="P226" s="6"/>
      <x:c r="Q226" s="6"/>
    </x:row>
    <x:row r="227" ht="19" customHeight="1">
      <x:c r="A227" s="6"/>
      <x:c r="B227" s="6"/>
      <x:c r="C227" s="6"/>
      <x:c r="D227" s="6"/>
      <x:c r="E227" s="6"/>
      <x:c r="F227" s="6"/>
      <x:c r="G227" s="6"/>
      <x:c r="H227" s="6"/>
      <x:c r="I227" s="6"/>
      <x:c r="J227" s="6"/>
      <x:c r="K227" s="6"/>
      <x:c r="L227" s="6"/>
      <x:c r="M227" s="6"/>
      <x:c r="N227" s="6"/>
      <x:c r="O227" s="6"/>
      <x:c r="P227" s="6"/>
      <x:c r="Q227" s="6"/>
    </x:row>
    <x:row r="228" ht="19" customHeight="1">
      <x:c r="A228" s="6"/>
      <x:c r="B228" s="6"/>
      <x:c r="C228" s="6"/>
      <x:c r="D228" s="6"/>
      <x:c r="E228" s="6"/>
      <x:c r="F228" s="6"/>
      <x:c r="G228" s="6"/>
      <x:c r="H228" s="6"/>
      <x:c r="I228" s="6"/>
      <x:c r="J228" s="6"/>
      <x:c r="K228" s="6"/>
      <x:c r="L228" s="6"/>
      <x:c r="M228" s="6"/>
      <x:c r="N228" s="6"/>
      <x:c r="O228" s="6"/>
      <x:c r="P228" s="6"/>
      <x:c r="Q228" s="6"/>
    </x:row>
    <x:row r="229" ht="19" customHeight="1">
      <x:c r="A229" s="6"/>
      <x:c r="B229" s="6"/>
      <x:c r="C229" s="6"/>
      <x:c r="D229" s="6"/>
      <x:c r="E229" s="6"/>
      <x:c r="F229" s="6"/>
      <x:c r="G229" s="6"/>
      <x:c r="H229" s="6"/>
      <x:c r="I229" s="6"/>
      <x:c r="J229" s="6"/>
      <x:c r="K229" s="6"/>
      <x:c r="L229" s="6"/>
      <x:c r="M229" s="6"/>
      <x:c r="N229" s="6"/>
      <x:c r="O229" s="6"/>
      <x:c r="P229" s="6"/>
      <x:c r="Q229" s="6"/>
    </x:row>
    <x:row r="230" ht="19" customHeight="1">
      <x:c r="A230" s="6"/>
      <x:c r="B230" s="6"/>
      <x:c r="C230" s="6"/>
      <x:c r="D230" s="6"/>
      <x:c r="E230" s="6"/>
      <x:c r="F230" s="6"/>
      <x:c r="G230" s="6"/>
      <x:c r="H230" s="6"/>
      <x:c r="I230" s="6"/>
      <x:c r="J230" s="6"/>
      <x:c r="K230" s="6"/>
      <x:c r="L230" s="6"/>
      <x:c r="M230" s="6"/>
      <x:c r="N230" s="6"/>
      <x:c r="O230" s="6"/>
      <x:c r="P230" s="6"/>
      <x:c r="Q230" s="6"/>
    </x:row>
    <x:row r="231" ht="19" customHeight="1">
      <x:c r="A231" s="6"/>
      <x:c r="B231" s="6"/>
      <x:c r="C231" s="6"/>
      <x:c r="D231" s="6"/>
      <x:c r="E231" s="6"/>
      <x:c r="F231" s="6"/>
      <x:c r="G231" s="6"/>
      <x:c r="H231" s="6"/>
      <x:c r="I231" s="6"/>
      <x:c r="J231" s="6"/>
      <x:c r="K231" s="6"/>
      <x:c r="L231" s="6"/>
      <x:c r="M231" s="6"/>
      <x:c r="N231" s="6"/>
      <x:c r="O231" s="6"/>
      <x:c r="P231" s="6"/>
      <x:c r="Q231" s="6"/>
    </x:row>
    <x:row r="232" ht="19" customHeight="1">
      <x:c r="A232" s="6"/>
      <x:c r="B232" s="6"/>
      <x:c r="C232" s="6"/>
      <x:c r="D232" s="6"/>
      <x:c r="E232" s="6"/>
      <x:c r="F232" s="6"/>
      <x:c r="G232" s="6"/>
      <x:c r="H232" s="6"/>
      <x:c r="I232" s="6"/>
      <x:c r="J232" s="6"/>
      <x:c r="K232" s="6"/>
      <x:c r="L232" s="6"/>
      <x:c r="M232" s="6"/>
      <x:c r="N232" s="6"/>
      <x:c r="O232" s="6"/>
      <x:c r="P232" s="6"/>
      <x:c r="Q232" s="6"/>
    </x:row>
    <x:row r="233" ht="19" customHeight="1">
      <x:c r="A233" s="6"/>
      <x:c r="B233" s="6"/>
      <x:c r="C233" s="6"/>
      <x:c r="D233" s="6"/>
      <x:c r="E233" s="6"/>
      <x:c r="F233" s="6"/>
      <x:c r="G233" s="6"/>
      <x:c r="H233" s="6"/>
      <x:c r="I233" s="6"/>
      <x:c r="J233" s="6"/>
      <x:c r="K233" s="6"/>
      <x:c r="L233" s="6"/>
      <x:c r="M233" s="6"/>
      <x:c r="N233" s="6"/>
      <x:c r="O233" s="6"/>
      <x:c r="P233" s="6"/>
      <x:c r="Q233" s="6"/>
    </x:row>
    <x:row r="234" ht="19" customHeight="1">
      <x:c r="A234" s="6"/>
      <x:c r="B234" s="6"/>
      <x:c r="C234" s="6"/>
      <x:c r="D234" s="6"/>
      <x:c r="E234" s="6"/>
      <x:c r="F234" s="6"/>
      <x:c r="G234" s="6"/>
      <x:c r="H234" s="6"/>
      <x:c r="I234" s="6"/>
      <x:c r="J234" s="6"/>
      <x:c r="K234" s="6"/>
      <x:c r="L234" s="6"/>
      <x:c r="M234" s="6"/>
      <x:c r="N234" s="6"/>
      <x:c r="O234" s="6"/>
      <x:c r="P234" s="6"/>
      <x:c r="Q234" s="6"/>
    </x:row>
    <x:row r="235" ht="19" customHeight="1">
      <x:c r="A235" s="6"/>
      <x:c r="B235" s="6"/>
      <x:c r="C235" s="6"/>
      <x:c r="D235" s="6"/>
      <x:c r="E235" s="6"/>
      <x:c r="F235" s="6"/>
      <x:c r="G235" s="6"/>
      <x:c r="H235" s="6"/>
      <x:c r="I235" s="6"/>
      <x:c r="J235" s="6"/>
      <x:c r="K235" s="6"/>
      <x:c r="L235" s="6"/>
      <x:c r="M235" s="6"/>
      <x:c r="N235" s="6"/>
      <x:c r="O235" s="6"/>
      <x:c r="P235" s="6"/>
      <x:c r="Q235" s="6"/>
    </x:row>
    <x:row r="236" ht="19" customHeight="1">
      <x:c r="A236" s="6"/>
      <x:c r="B236" s="6"/>
      <x:c r="C236" s="6"/>
      <x:c r="D236" s="6"/>
      <x:c r="E236" s="6"/>
      <x:c r="F236" s="6"/>
      <x:c r="G236" s="6"/>
      <x:c r="H236" s="6"/>
      <x:c r="I236" s="6"/>
      <x:c r="J236" s="6"/>
      <x:c r="K236" s="6"/>
      <x:c r="L236" s="6"/>
      <x:c r="M236" s="6"/>
      <x:c r="N236" s="6"/>
      <x:c r="O236" s="6"/>
      <x:c r="P236" s="6"/>
      <x:c r="Q236" s="6"/>
    </x:row>
    <x:row r="237" ht="19" customHeight="1">
      <x:c r="A237" s="6"/>
      <x:c r="B237" s="6"/>
      <x:c r="C237" s="6"/>
      <x:c r="D237" s="6"/>
      <x:c r="E237" s="6"/>
      <x:c r="F237" s="6"/>
      <x:c r="G237" s="6"/>
      <x:c r="H237" s="6"/>
      <x:c r="I237" s="6"/>
      <x:c r="J237" s="6"/>
      <x:c r="K237" s="6"/>
      <x:c r="L237" s="6"/>
      <x:c r="M237" s="6"/>
      <x:c r="N237" s="6"/>
      <x:c r="O237" s="6"/>
      <x:c r="P237" s="6"/>
      <x:c r="Q237" s="6"/>
    </x:row>
    <x:row r="238" ht="19" customHeight="1">
      <x:c r="A238" s="6"/>
      <x:c r="B238" s="6"/>
      <x:c r="C238" s="6"/>
      <x:c r="D238" s="6"/>
      <x:c r="E238" s="6"/>
      <x:c r="F238" s="6"/>
      <x:c r="G238" s="6"/>
      <x:c r="H238" s="6"/>
      <x:c r="I238" s="6"/>
      <x:c r="J238" s="6"/>
      <x:c r="K238" s="6"/>
      <x:c r="L238" s="6"/>
      <x:c r="M238" s="6"/>
      <x:c r="N238" s="6"/>
      <x:c r="O238" s="6"/>
      <x:c r="P238" s="6"/>
      <x:c r="Q238" s="6"/>
    </x:row>
    <x:row r="239" ht="19" customHeight="1">
      <x:c r="A239" s="6"/>
      <x:c r="B239" s="6"/>
      <x:c r="C239" s="6"/>
      <x:c r="D239" s="6"/>
      <x:c r="E239" s="6"/>
      <x:c r="F239" s="6"/>
      <x:c r="G239" s="6"/>
      <x:c r="H239" s="6"/>
      <x:c r="I239" s="6"/>
      <x:c r="J239" s="6"/>
      <x:c r="K239" s="6"/>
      <x:c r="L239" s="6"/>
      <x:c r="M239" s="6"/>
      <x:c r="N239" s="6"/>
      <x:c r="O239" s="6"/>
      <x:c r="P239" s="6"/>
      <x:c r="Q239" s="6"/>
    </x:row>
    <x:row r="240" ht="19" customHeight="1">
      <x:c r="A240" s="6"/>
      <x:c r="B240" s="6"/>
      <x:c r="C240" s="6"/>
      <x:c r="D240" s="6"/>
      <x:c r="E240" s="6"/>
      <x:c r="F240" s="6"/>
      <x:c r="G240" s="6"/>
      <x:c r="H240" s="6"/>
      <x:c r="I240" s="6"/>
      <x:c r="J240" s="6"/>
      <x:c r="K240" s="6"/>
      <x:c r="L240" s="6"/>
      <x:c r="M240" s="6"/>
      <x:c r="N240" s="6"/>
      <x:c r="O240" s="6"/>
      <x:c r="P240" s="6"/>
      <x:c r="Q240" s="6"/>
    </x:row>
    <x:row r="241" ht="19" customHeight="1">
      <x:c r="A241" s="6"/>
      <x:c r="B241" s="6"/>
      <x:c r="C241" s="6"/>
      <x:c r="D241" s="6"/>
      <x:c r="E241" s="6"/>
      <x:c r="F241" s="6"/>
      <x:c r="G241" s="6"/>
      <x:c r="H241" s="6"/>
      <x:c r="I241" s="6"/>
      <x:c r="J241" s="6"/>
      <x:c r="K241" s="6"/>
      <x:c r="L241" s="6"/>
      <x:c r="M241" s="6"/>
      <x:c r="N241" s="6"/>
      <x:c r="O241" s="6"/>
      <x:c r="P241" s="6"/>
      <x:c r="Q241" s="6"/>
    </x:row>
    <x:row r="242" ht="19" customHeight="1">
      <x:c r="A242" s="6"/>
      <x:c r="B242" s="6"/>
      <x:c r="C242" s="6"/>
      <x:c r="D242" s="6"/>
      <x:c r="E242" s="6"/>
      <x:c r="F242" s="6"/>
      <x:c r="G242" s="6"/>
      <x:c r="H242" s="6"/>
      <x:c r="I242" s="6"/>
      <x:c r="J242" s="6"/>
      <x:c r="K242" s="6"/>
      <x:c r="L242" s="6"/>
      <x:c r="M242" s="6"/>
      <x:c r="N242" s="6"/>
      <x:c r="O242" s="6"/>
      <x:c r="P242" s="6"/>
      <x:c r="Q242" s="6"/>
    </x:row>
    <x:row r="243" ht="19" customHeight="1">
      <x:c r="A243" s="6"/>
      <x:c r="B243" s="6"/>
      <x:c r="C243" s="6"/>
      <x:c r="D243" s="6"/>
      <x:c r="E243" s="6"/>
      <x:c r="F243" s="6"/>
      <x:c r="G243" s="6"/>
      <x:c r="H243" s="6"/>
      <x:c r="I243" s="6"/>
      <x:c r="J243" s="6"/>
      <x:c r="K243" s="6"/>
      <x:c r="L243" s="6"/>
      <x:c r="M243" s="6"/>
      <x:c r="N243" s="6"/>
      <x:c r="O243" s="6"/>
      <x:c r="P243" s="6"/>
      <x:c r="Q243" s="6"/>
    </x:row>
    <x:row r="244" ht="19" customHeight="1">
      <x:c r="A244" s="6"/>
      <x:c r="B244" s="6"/>
      <x:c r="C244" s="6"/>
      <x:c r="D244" s="6"/>
      <x:c r="E244" s="6"/>
      <x:c r="F244" s="6"/>
      <x:c r="G244" s="6"/>
      <x:c r="H244" s="6"/>
      <x:c r="I244" s="6"/>
      <x:c r="J244" s="6"/>
      <x:c r="K244" s="6"/>
      <x:c r="L244" s="6"/>
      <x:c r="M244" s="6"/>
      <x:c r="N244" s="6"/>
      <x:c r="O244" s="6"/>
      <x:c r="P244" s="6"/>
      <x:c r="Q244" s="6"/>
    </x:row>
    <x:row r="245" ht="19" customHeight="1">
      <x:c r="A245" s="6"/>
      <x:c r="B245" s="6"/>
      <x:c r="C245" s="6"/>
      <x:c r="D245" s="6"/>
      <x:c r="E245" s="6"/>
      <x:c r="F245" s="6"/>
      <x:c r="G245" s="6"/>
      <x:c r="H245" s="6"/>
      <x:c r="I245" s="6"/>
      <x:c r="J245" s="6"/>
      <x:c r="K245" s="6"/>
      <x:c r="L245" s="6"/>
      <x:c r="M245" s="6"/>
      <x:c r="N245" s="6"/>
      <x:c r="O245" s="6"/>
      <x:c r="P245" s="6"/>
      <x:c r="Q245" s="6"/>
    </x:row>
    <x:row r="246" ht="19" customHeight="1">
      <x:c r="A246" s="6"/>
      <x:c r="B246" s="6"/>
      <x:c r="C246" s="6"/>
      <x:c r="D246" s="6"/>
      <x:c r="E246" s="6"/>
      <x:c r="F246" s="6"/>
      <x:c r="G246" s="6"/>
      <x:c r="H246" s="6"/>
      <x:c r="I246" s="6"/>
      <x:c r="J246" s="6"/>
      <x:c r="K246" s="6"/>
      <x:c r="L246" s="6"/>
      <x:c r="M246" s="6"/>
      <x:c r="N246" s="6"/>
      <x:c r="O246" s="6"/>
      <x:c r="P246" s="6"/>
      <x:c r="Q246" s="6"/>
    </x:row>
    <x:row r="247" ht="19" customHeight="1">
      <x:c r="A247" s="6"/>
      <x:c r="B247" s="6"/>
      <x:c r="C247" s="6"/>
      <x:c r="D247" s="6"/>
      <x:c r="E247" s="6"/>
      <x:c r="F247" s="6"/>
      <x:c r="G247" s="6"/>
      <x:c r="H247" s="6"/>
      <x:c r="I247" s="6"/>
      <x:c r="J247" s="6"/>
      <x:c r="K247" s="6"/>
      <x:c r="L247" s="6"/>
      <x:c r="M247" s="6"/>
      <x:c r="N247" s="6"/>
      <x:c r="O247" s="6"/>
      <x:c r="P247" s="6"/>
      <x:c r="Q247" s="6"/>
    </x:row>
    <x:row r="248" ht="19" customHeight="1">
      <x:c r="A248" s="6"/>
      <x:c r="B248" s="6"/>
      <x:c r="C248" s="6"/>
      <x:c r="D248" s="6"/>
      <x:c r="E248" s="6"/>
      <x:c r="F248" s="6"/>
      <x:c r="G248" s="6"/>
      <x:c r="H248" s="6"/>
      <x:c r="I248" s="6"/>
      <x:c r="J248" s="6"/>
      <x:c r="K248" s="6"/>
      <x:c r="L248" s="6"/>
      <x:c r="M248" s="6"/>
      <x:c r="N248" s="6"/>
      <x:c r="O248" s="6"/>
      <x:c r="P248" s="6"/>
      <x:c r="Q248" s="6"/>
    </x:row>
    <x:row r="249" ht="19" customHeight="1">
      <x:c r="A249" s="6"/>
      <x:c r="B249" s="6"/>
      <x:c r="C249" s="6"/>
      <x:c r="D249" s="6"/>
      <x:c r="E249" s="6"/>
      <x:c r="F249" s="6"/>
      <x:c r="G249" s="6"/>
      <x:c r="H249" s="6"/>
      <x:c r="I249" s="6"/>
      <x:c r="J249" s="6"/>
      <x:c r="K249" s="6"/>
      <x:c r="L249" s="6"/>
      <x:c r="M249" s="6"/>
      <x:c r="N249" s="6"/>
      <x:c r="O249" s="6"/>
      <x:c r="P249" s="6"/>
      <x:c r="Q249" s="6"/>
    </x:row>
    <x:row r="250" ht="19" customHeight="1">
      <x:c r="A250" s="6"/>
      <x:c r="B250" s="6"/>
      <x:c r="C250" s="6"/>
      <x:c r="D250" s="6"/>
      <x:c r="E250" s="6"/>
      <x:c r="F250" s="6"/>
      <x:c r="G250" s="6"/>
      <x:c r="H250" s="6"/>
      <x:c r="I250" s="6"/>
      <x:c r="J250" s="6"/>
      <x:c r="K250" s="6"/>
      <x:c r="L250" s="6"/>
      <x:c r="M250" s="6"/>
      <x:c r="N250" s="6"/>
      <x:c r="O250" s="6"/>
      <x:c r="P250" s="6"/>
      <x:c r="Q250" s="6"/>
    </x:row>
    <x:row r="251" ht="19" customHeight="1">
      <x:c r="A251" s="6"/>
      <x:c r="B251" s="6"/>
      <x:c r="C251" s="6"/>
      <x:c r="D251" s="6"/>
      <x:c r="E251" s="6"/>
      <x:c r="F251" s="6"/>
      <x:c r="G251" s="6"/>
      <x:c r="H251" s="6"/>
      <x:c r="I251" s="6"/>
      <x:c r="J251" s="6"/>
      <x:c r="K251" s="6"/>
      <x:c r="L251" s="6"/>
      <x:c r="M251" s="6"/>
      <x:c r="N251" s="6"/>
      <x:c r="O251" s="6"/>
      <x:c r="P251" s="6"/>
      <x:c r="Q251" s="6"/>
    </x:row>
    <x:row r="252" ht="19" customHeight="1">
      <x:c r="A252" s="6"/>
      <x:c r="B252" s="6"/>
      <x:c r="C252" s="6"/>
      <x:c r="D252" s="6"/>
      <x:c r="E252" s="6"/>
      <x:c r="F252" s="6"/>
      <x:c r="G252" s="6"/>
      <x:c r="H252" s="6"/>
      <x:c r="I252" s="6"/>
      <x:c r="J252" s="6"/>
      <x:c r="K252" s="6"/>
      <x:c r="L252" s="6"/>
      <x:c r="M252" s="6"/>
      <x:c r="N252" s="6"/>
      <x:c r="O252" s="6"/>
      <x:c r="P252" s="6"/>
      <x:c r="Q252" s="6"/>
    </x:row>
    <x:row r="253" ht="19" customHeight="1">
      <x:c r="A253" s="6"/>
      <x:c r="B253" s="6"/>
      <x:c r="C253" s="6"/>
      <x:c r="D253" s="6"/>
      <x:c r="E253" s="6"/>
      <x:c r="F253" s="6"/>
      <x:c r="G253" s="6"/>
      <x:c r="H253" s="6"/>
      <x:c r="I253" s="6"/>
      <x:c r="J253" s="6"/>
      <x:c r="K253" s="6"/>
      <x:c r="L253" s="6"/>
      <x:c r="M253" s="6"/>
      <x:c r="N253" s="6"/>
      <x:c r="O253" s="6"/>
      <x:c r="P253" s="6"/>
      <x:c r="Q253" s="6"/>
    </x:row>
    <x:row r="254" ht="19" customHeight="1">
      <x:c r="A254" s="6"/>
      <x:c r="B254" s="6"/>
      <x:c r="C254" s="6"/>
      <x:c r="D254" s="6"/>
      <x:c r="E254" s="6"/>
      <x:c r="F254" s="6"/>
      <x:c r="G254" s="6"/>
      <x:c r="H254" s="6"/>
      <x:c r="I254" s="6"/>
      <x:c r="J254" s="6"/>
      <x:c r="K254" s="6"/>
      <x:c r="L254" s="6"/>
      <x:c r="M254" s="6"/>
      <x:c r="N254" s="6"/>
      <x:c r="O254" s="6"/>
      <x:c r="P254" s="6"/>
      <x:c r="Q254" s="6"/>
    </x:row>
    <x:row r="255" ht="19" customHeight="1">
      <x:c r="A255" s="6"/>
      <x:c r="B255" s="6"/>
      <x:c r="C255" s="6"/>
      <x:c r="D255" s="6"/>
      <x:c r="E255" s="6"/>
      <x:c r="F255" s="6"/>
      <x:c r="G255" s="6"/>
      <x:c r="H255" s="6"/>
      <x:c r="I255" s="6"/>
      <x:c r="J255" s="6"/>
      <x:c r="K255" s="6"/>
      <x:c r="L255" s="6"/>
      <x:c r="M255" s="6"/>
      <x:c r="N255" s="6"/>
      <x:c r="O255" s="6"/>
      <x:c r="P255" s="6"/>
      <x:c r="Q255" s="6"/>
    </x:row>
    <x:row r="256" ht="19" customHeight="1">
      <x:c r="A256" s="6"/>
      <x:c r="B256" s="6"/>
      <x:c r="C256" s="6"/>
      <x:c r="D256" s="6"/>
      <x:c r="E256" s="6"/>
      <x:c r="F256" s="6"/>
      <x:c r="G256" s="6"/>
      <x:c r="H256" s="6"/>
      <x:c r="I256" s="6"/>
      <x:c r="J256" s="6"/>
      <x:c r="K256" s="6"/>
      <x:c r="L256" s="6"/>
      <x:c r="M256" s="6"/>
      <x:c r="N256" s="6"/>
      <x:c r="O256" s="6"/>
      <x:c r="P256" s="6"/>
      <x:c r="Q256" s="6"/>
    </x:row>
    <x:row r="257" ht="19" customHeight="1">
      <x:c r="A257" s="6"/>
      <x:c r="B257" s="6"/>
      <x:c r="C257" s="6"/>
      <x:c r="D257" s="6"/>
      <x:c r="E257" s="6"/>
      <x:c r="F257" s="6"/>
      <x:c r="G257" s="6"/>
      <x:c r="H257" s="6"/>
      <x:c r="I257" s="6"/>
      <x:c r="J257" s="6"/>
      <x:c r="K257" s="6"/>
      <x:c r="L257" s="6"/>
      <x:c r="M257" s="6"/>
      <x:c r="N257" s="6"/>
      <x:c r="O257" s="6"/>
      <x:c r="P257" s="6"/>
      <x:c r="Q257" s="6"/>
    </x:row>
    <x:row r="258" ht="19" customHeight="1">
      <x:c r="A258" s="6"/>
      <x:c r="B258" s="6"/>
      <x:c r="C258" s="6"/>
      <x:c r="D258" s="6"/>
      <x:c r="E258" s="6"/>
      <x:c r="F258" s="6"/>
      <x:c r="G258" s="6"/>
      <x:c r="H258" s="6"/>
      <x:c r="I258" s="6"/>
      <x:c r="J258" s="6"/>
      <x:c r="K258" s="6"/>
      <x:c r="L258" s="6"/>
      <x:c r="M258" s="6"/>
      <x:c r="N258" s="6"/>
      <x:c r="O258" s="6"/>
      <x:c r="P258" s="6"/>
      <x:c r="Q258" s="6"/>
    </x:row>
    <x:row r="259" ht="19" customHeight="1">
      <x:c r="A259" s="6"/>
      <x:c r="B259" s="6"/>
      <x:c r="C259" s="6"/>
      <x:c r="D259" s="6"/>
      <x:c r="E259" s="6"/>
      <x:c r="F259" s="6"/>
      <x:c r="G259" s="6"/>
      <x:c r="H259" s="6"/>
      <x:c r="I259" s="6"/>
      <x:c r="J259" s="6"/>
      <x:c r="K259" s="6"/>
      <x:c r="L259" s="6"/>
      <x:c r="M259" s="6"/>
      <x:c r="N259" s="6"/>
      <x:c r="O259" s="6"/>
      <x:c r="P259" s="6"/>
      <x:c r="Q259" s="6"/>
    </x:row>
    <x:row r="260" ht="19" customHeight="1">
      <x:c r="A260" s="6"/>
      <x:c r="B260" s="6"/>
      <x:c r="C260" s="6"/>
      <x:c r="D260" s="6"/>
      <x:c r="E260" s="6"/>
      <x:c r="F260" s="6"/>
      <x:c r="G260" s="6"/>
      <x:c r="H260" s="6"/>
      <x:c r="I260" s="6"/>
      <x:c r="J260" s="6"/>
      <x:c r="K260" s="6"/>
      <x:c r="L260" s="6"/>
      <x:c r="M260" s="6"/>
      <x:c r="N260" s="6"/>
      <x:c r="O260" s="6"/>
      <x:c r="P260" s="6"/>
      <x:c r="Q260" s="6"/>
    </x:row>
  </x:sheetData>
  <x:mergeCells>
    <x:mergeCell ref="A1:J2"/>
    <x:mergeCell ref="A3:J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54" hidden="0" customWidth="1"/>
    <x:col min="3" max="3" width="14" hidden="0" customWidth="1"/>
    <x:col min="4" max="4" width="14" hidden="0" customWidth="1"/>
    <x:col min="5" max="5" width="14" hidden="0" customWidth="1"/>
    <x:col min="6" max="6" width="50" hidden="0" customWidth="1"/>
  </x:cols>
  <x:sheetData>
    <x:row r="1" ht="24" customHeight="1">
      <x:c r="A1" s="10" t="str">
        <x:v>Единая матрица RACI — версия 1 / фаза 1</x:v>
      </x:c>
      <x:c r="B1" s="10"/>
      <x:c r="C1" s="10"/>
      <x:c r="D1" s="10"/>
      <x:c r="E1" s="10"/>
      <x:c r="F1" s="10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</x:row>
    <x:row r="2" ht="24" customHeight="1">
      <x:c r="A2" s="10"/>
      <x:c r="B2" s="10"/>
      <x:c r="C2" s="10"/>
      <x:c r="D2" s="10"/>
      <x:c r="E2" s="10"/>
      <x:c r="F2" s="10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</x:row>
    <x:row r="3" ht="19" customHeight="1">
      <x:c r="A3" s="6" t="str">
        <x:v>A — отвечает за результат; R — выполняет; C — консультирует; I — информируется. Одна A на каждую задачу. Новые фазы добавляются ниже.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</x:row>
    <x:row r="4" ht="30" customHeight="1">
      <x:c r="A4" s="17" t="str">
        <x:v>ID</x:v>
      </x:c>
      <x:c r="B4" s="17" t="str">
        <x:v>Работа</x:v>
      </x:c>
      <x:c r="C4" s="17" t="str">
        <x:v>Участник 1</x:v>
      </x:c>
      <x:c r="D4" s="17" t="str">
        <x:v>Участник 2</x:v>
      </x:c>
      <x:c r="E4" s="17" t="str">
        <x:v>Участник 3</x:v>
      </x:c>
      <x:c r="F4" s="17" t="str">
        <x:v>Основание назначения</x:v>
      </x:c>
      <x:c r="G4" s="6"/>
      <x:c r="H4" s="6"/>
      <x:c r="I4" s="6"/>
      <x:c r="J4" s="6"/>
      <x:c r="K4" s="6"/>
      <x:c r="L4" s="6"/>
      <x:c r="M4" s="6"/>
      <x:c r="N4" s="6"/>
      <x:c r="O4" s="6"/>
      <x:c r="P4" s="6"/>
      <x:c r="Q4" s="6"/>
    </x:row>
    <x:row r="5" ht="32" customHeight="1">
      <x:c r="A5" s="6" t="str">
        <x:v>T01</x:v>
      </x:c>
      <x:c r="B5" s="22" t="str">
        <x:v>Установочная встреча, правила и роли</x:v>
      </x:c>
      <x:c r="C5" s="6" t="str">
        <x:v>A/R</x:v>
      </x:c>
      <x:c r="D5" s="6" t="str">
        <x:v>R</x:v>
      </x:c>
      <x:c r="E5" s="6" t="str">
        <x:v>R</x:v>
      </x:c>
      <x:c r="F5" s="22" t="str">
        <x:v>Координатор У1 ведёт протокол, все участвуют</x:v>
      </x:c>
      <x:c r="G5" s="6"/>
      <x:c r="H5" s="6"/>
      <x:c r="I5" s="6"/>
      <x:c r="J5" s="6"/>
      <x:c r="K5" s="6"/>
      <x:c r="L5" s="6"/>
      <x:c r="M5" s="6"/>
      <x:c r="N5" s="6"/>
      <x:c r="O5" s="6"/>
      <x:c r="P5" s="6"/>
      <x:c r="Q5" s="6"/>
    </x:row>
    <x:row r="6" ht="32" customHeight="1">
      <x:c r="A6" s="6" t="str">
        <x:v>T02</x:v>
      </x:c>
      <x:c r="B6" s="22" t="str">
        <x:v>Концепция и 12 UC StudyFlow</x:v>
      </x:c>
      <x:c r="C6" s="6" t="str">
        <x:v>A/R</x:v>
      </x:c>
      <x:c r="D6" s="6" t="str">
        <x:v>I</x:v>
      </x:c>
      <x:c r="E6" s="6" t="str">
        <x:v>I</x:v>
      </x:c>
      <x:c r="F6" s="22" t="str">
        <x:v>У1 — контент и декомпозиция</x:v>
      </x:c>
      <x:c r="G6" s="6"/>
      <x:c r="H6" s="6"/>
      <x:c r="I6" s="6"/>
      <x:c r="J6" s="6"/>
      <x:c r="K6" s="6"/>
      <x:c r="L6" s="6"/>
      <x:c r="M6" s="6"/>
      <x:c r="N6" s="6"/>
      <x:c r="O6" s="6"/>
      <x:c r="P6" s="6"/>
      <x:c r="Q6" s="6"/>
    </x:row>
    <x:row r="7" ht="32" customHeight="1">
      <x:c r="A7" s="6" t="str">
        <x:v>T03</x:v>
      </x:c>
      <x:c r="B7" s="22" t="str">
        <x:v>Концепция и 12 UC CampusEvents</x:v>
      </x:c>
      <x:c r="C7" s="6" t="str">
        <x:v>I</x:v>
      </x:c>
      <x:c r="D7" s="6" t="str">
        <x:v>A/R</x:v>
      </x:c>
      <x:c r="E7" s="6" t="str">
        <x:v>I</x:v>
      </x:c>
      <x:c r="F7" s="22" t="str">
        <x:v>У2 — альтернатива и предметные сценарии</x:v>
      </x:c>
      <x:c r="G7" s="6"/>
      <x:c r="H7" s="6"/>
      <x:c r="I7" s="6"/>
      <x:c r="J7" s="6"/>
      <x:c r="K7" s="6"/>
      <x:c r="L7" s="6"/>
      <x:c r="M7" s="6"/>
      <x:c r="N7" s="6"/>
      <x:c r="O7" s="6"/>
      <x:c r="P7" s="6"/>
      <x:c r="Q7" s="6"/>
    </x:row>
    <x:row r="8" ht="32" customHeight="1">
      <x:c r="A8" s="6" t="str">
        <x:v>T04</x:v>
      </x:c>
      <x:c r="B8" s="22" t="str">
        <x:v>Концепция и 12 UC BookSwap</x:v>
      </x:c>
      <x:c r="C8" s="6" t="str">
        <x:v>C</x:v>
      </x:c>
      <x:c r="D8" s="6" t="str">
        <x:v>I</x:v>
      </x:c>
      <x:c r="E8" s="6" t="str">
        <x:v>A/R</x:v>
      </x:c>
      <x:c r="F8" s="22" t="str">
        <x:v>У3 — владелец концепции, У1 проверяет</x:v>
      </x:c>
      <x:c r="G8" s="6"/>
      <x:c r="H8" s="6"/>
      <x:c r="I8" s="6"/>
      <x:c r="J8" s="6"/>
      <x:c r="K8" s="6"/>
      <x:c r="L8" s="6"/>
      <x:c r="M8" s="6"/>
      <x:c r="N8" s="6"/>
      <x:c r="O8" s="6"/>
      <x:c r="P8" s="6"/>
      <x:c r="Q8" s="6"/>
    </x:row>
    <x:row r="9" ht="32" customHeight="1">
      <x:c r="A9" s="6" t="str">
        <x:v>T05</x:v>
      </x:c>
      <x:c r="B9" s="22" t="str">
        <x:v>Концепция и 12 UC SkillBridge</x:v>
      </x:c>
      <x:c r="C9" s="6" t="str">
        <x:v>I</x:v>
      </x:c>
      <x:c r="D9" s="6" t="str">
        <x:v>C</x:v>
      </x:c>
      <x:c r="E9" s="6" t="str">
        <x:v>A/R</x:v>
      </x:c>
      <x:c r="F9" s="22" t="str">
        <x:v>У3 — владелец концепции, У2 проверяет</x:v>
      </x:c>
      <x:c r="G9" s="6"/>
      <x:c r="H9" s="6"/>
      <x:c r="I9" s="6"/>
      <x:c r="J9" s="6"/>
      <x:c r="K9" s="6"/>
      <x:c r="L9" s="6"/>
      <x:c r="M9" s="6"/>
      <x:c r="N9" s="6"/>
      <x:c r="O9" s="6"/>
      <x:c r="P9" s="6"/>
      <x:c r="Q9" s="6"/>
    </x:row>
    <x:row r="10" ht="32" customHeight="1">
      <x:c r="A10" s="6" t="str">
        <x:v>T06</x:v>
      </x:c>
      <x:c r="B10" s="22" t="str">
        <x:v>Критерии, шкала и формулировки</x:v>
      </x:c>
      <x:c r="C10" s="6" t="str">
        <x:v>A/R</x:v>
      </x:c>
      <x:c r="D10" s="6" t="str">
        <x:v>C</x:v>
      </x:c>
      <x:c r="E10" s="6" t="str">
        <x:v>C</x:v>
      </x:c>
      <x:c r="F10" s="22" t="str">
        <x:v>У1 унифицирует критерии, У2 и У3 проверяют</x:v>
      </x:c>
      <x:c r="G10" s="6"/>
      <x:c r="H10" s="6"/>
      <x:c r="I10" s="6"/>
      <x:c r="J10" s="6"/>
      <x:c r="K10" s="6"/>
      <x:c r="L10" s="6"/>
      <x:c r="M10" s="6"/>
      <x:c r="N10" s="6"/>
      <x:c r="O10" s="6"/>
      <x:c r="P10" s="6"/>
      <x:c r="Q10" s="6"/>
    </x:row>
    <x:row r="11" ht="32" customHeight="1">
      <x:c r="A11" s="6" t="str">
        <x:v>T07</x:v>
      </x:c>
      <x:c r="B11" s="22" t="str">
        <x:v>Независимые балльные оценки (TOPSIS)</x:v>
      </x:c>
      <x:c r="C11" s="6" t="str">
        <x:v>R</x:v>
      </x:c>
      <x:c r="D11" s="6" t="str">
        <x:v>A/R</x:v>
      </x:c>
      <x:c r="E11" s="6" t="str">
        <x:v>R</x:v>
      </x:c>
      <x:c r="F11" s="22" t="str">
        <x:v>Каждый выставляет оценки самостоятельно</x:v>
      </x:c>
      <x:c r="G11" s="6"/>
      <x:c r="H11" s="6"/>
      <x:c r="I11" s="6"/>
      <x:c r="J11" s="6"/>
      <x:c r="K11" s="6"/>
      <x:c r="L11" s="6"/>
      <x:c r="M11" s="6"/>
      <x:c r="N11" s="6"/>
      <x:c r="O11" s="6"/>
      <x:c r="P11" s="6"/>
      <x:c r="Q11" s="6"/>
    </x:row>
    <x:row r="12" ht="32" customHeight="1">
      <x:c r="A12" s="6" t="str">
        <x:v>T08</x:v>
      </x:c>
      <x:c r="B12" s="22" t="str">
        <x:v>Расчёт коллективного нечёткого TOPSIS</x:v>
      </x:c>
      <x:c r="C12" s="6" t="str">
        <x:v>C</x:v>
      </x:c>
      <x:c r="D12" s="6" t="str">
        <x:v>A/R</x:v>
      </x:c>
      <x:c r="E12" s="6" t="str">
        <x:v>C</x:v>
      </x:c>
      <x:c r="F12" s="22" t="str">
        <x:v>У2 ведёт численный TOPSIS</x:v>
      </x:c>
      <x:c r="G12" s="6"/>
      <x:c r="H12" s="6"/>
      <x:c r="I12" s="6"/>
      <x:c r="J12" s="6"/>
      <x:c r="K12" s="6"/>
      <x:c r="L12" s="6"/>
      <x:c r="M12" s="6"/>
      <x:c r="N12" s="6"/>
      <x:c r="O12" s="6"/>
      <x:c r="P12" s="6"/>
      <x:c r="Q12" s="6"/>
    </x:row>
    <x:row r="13" ht="32" customHeight="1">
      <x:c r="A13" s="6" t="str">
        <x:v>T09</x:v>
      </x:c>
      <x:c r="B13" s="22" t="str">
        <x:v>Независимые попарные сравнения МАИ</x:v>
      </x:c>
      <x:c r="C13" s="6" t="str">
        <x:v>R</x:v>
      </x:c>
      <x:c r="D13" s="6" t="str">
        <x:v>R</x:v>
      </x:c>
      <x:c r="E13" s="6" t="str">
        <x:v>A/R</x:v>
      </x:c>
      <x:c r="F13" s="22" t="str">
        <x:v>Каждый заполняет парные сравнения; У3 собирает</x:v>
      </x:c>
      <x:c r="G13" s="6"/>
      <x:c r="H13" s="6"/>
      <x:c r="I13" s="6"/>
      <x:c r="J13" s="6"/>
      <x:c r="K13" s="6"/>
      <x:c r="L13" s="6"/>
      <x:c r="M13" s="6"/>
      <x:c r="N13" s="6"/>
      <x:c r="O13" s="6"/>
      <x:c r="P13" s="6"/>
      <x:c r="Q13" s="6"/>
    </x:row>
    <x:row r="14" ht="32" customHeight="1">
      <x:c r="A14" s="6" t="str">
        <x:v>T10</x:v>
      </x:c>
      <x:c r="B14" s="22" t="str">
        <x:v>Агрегация МАИ и проверка CR</x:v>
      </x:c>
      <x:c r="C14" s="6" t="str">
        <x:v>C</x:v>
      </x:c>
      <x:c r="D14" s="6" t="str">
        <x:v>C</x:v>
      </x:c>
      <x:c r="E14" s="6" t="str">
        <x:v>A/R</x:v>
      </x:c>
      <x:c r="F14" s="22" t="str">
        <x:v>У3 рассчитывает и проверяет МАИ</x:v>
      </x:c>
      <x:c r="G14" s="6"/>
      <x:c r="H14" s="6"/>
      <x:c r="I14" s="6"/>
      <x:c r="J14" s="6"/>
      <x:c r="K14" s="6"/>
      <x:c r="L14" s="6"/>
      <x:c r="M14" s="6"/>
      <x:c r="N14" s="6"/>
      <x:c r="O14" s="6"/>
      <x:c r="P14" s="6"/>
      <x:c r="Q14" s="6"/>
    </x:row>
    <x:row r="15" ht="32" customHeight="1">
      <x:c r="A15" s="6" t="str">
        <x:v>T11</x:v>
      </x:c>
      <x:c r="B15" s="22" t="str">
        <x:v>Сопоставление и анализ чувствительности</x:v>
      </x:c>
      <x:c r="C15" s="6" t="str">
        <x:v>C</x:v>
      </x:c>
      <x:c r="D15" s="6" t="str">
        <x:v>A/R</x:v>
      </x:c>
      <x:c r="E15" s="6" t="str">
        <x:v>R</x:v>
      </x:c>
      <x:c r="F15" s="22" t="str">
        <x:v>У2 сравнивает результаты, У3 выполняет часть анализа</x:v>
      </x:c>
      <x:c r="G15" s="6"/>
      <x:c r="H15" s="6"/>
      <x:c r="I15" s="6"/>
      <x:c r="J15" s="6"/>
      <x:c r="K15" s="6"/>
      <x:c r="L15" s="6"/>
      <x:c r="M15" s="6"/>
      <x:c r="N15" s="6"/>
      <x:c r="O15" s="6"/>
      <x:c r="P15" s="6"/>
      <x:c r="Q15" s="6"/>
    </x:row>
    <x:row r="16" ht="32" customHeight="1">
      <x:c r="A16" s="6" t="str">
        <x:v>T12</x:v>
      </x:c>
      <x:c r="B16" s="22" t="str">
        <x:v>Общая встреча и решение команды</x:v>
      </x:c>
      <x:c r="C16" s="6" t="str">
        <x:v>A/R</x:v>
      </x:c>
      <x:c r="D16" s="6" t="str">
        <x:v>R</x:v>
      </x:c>
      <x:c r="E16" s="6" t="str">
        <x:v>R</x:v>
      </x:c>
      <x:c r="F16" s="22" t="str">
        <x:v>Все принимают решение, У1 протоколирует</x:v>
      </x:c>
      <x:c r="G16" s="6"/>
      <x:c r="H16" s="6"/>
      <x:c r="I16" s="6"/>
      <x:c r="J16" s="6"/>
      <x:c r="K16" s="6"/>
      <x:c r="L16" s="6"/>
      <x:c r="M16" s="6"/>
      <x:c r="N16" s="6"/>
      <x:c r="O16" s="6"/>
      <x:c r="P16" s="6"/>
      <x:c r="Q16" s="6"/>
    </x:row>
    <x:row r="17" ht="32" customHeight="1">
      <x:c r="A17" s="6" t="str">
        <x:v>T13</x:v>
      </x:c>
      <x:c r="B17" s="22" t="str">
        <x:v>Сборка отчёта и актуализация RACI</x:v>
      </x:c>
      <x:c r="C17" s="6" t="str">
        <x:v>A/R</x:v>
      </x:c>
      <x:c r="D17" s="6" t="str">
        <x:v>C</x:v>
      </x:c>
      <x:c r="E17" s="6" t="str">
        <x:v>C</x:v>
      </x:c>
      <x:c r="F17" s="22" t="str">
        <x:v>У1 владелец финального отчёта и RACI</x:v>
      </x:c>
      <x:c r="G17" s="6"/>
      <x:c r="H17" s="6"/>
      <x:c r="I17" s="6"/>
      <x:c r="J17" s="6"/>
      <x:c r="K17" s="6"/>
      <x:c r="L17" s="6"/>
      <x:c r="M17" s="6"/>
      <x:c r="N17" s="6"/>
      <x:c r="O17" s="6"/>
      <x:c r="P17" s="6"/>
      <x:c r="Q17" s="6"/>
    </x:row>
    <x:row r="18" ht="32" customHeight="1">
      <x:c r="A18" s="6" t="str">
        <x:v>T14</x:v>
      </x:c>
      <x:c r="B18" s="22" t="str">
        <x:v>Взаимная проверка методики и результатов</x:v>
      </x:c>
      <x:c r="C18" s="6" t="str">
        <x:v>C</x:v>
      </x:c>
      <x:c r="D18" s="6" t="str">
        <x:v>R</x:v>
      </x:c>
      <x:c r="E18" s="6" t="str">
        <x:v>A/R</x:v>
      </x:c>
      <x:c r="F18" s="22" t="str">
        <x:v>У3 осуществляет независимую проверку</x:v>
      </x:c>
      <x:c r="G18" s="6"/>
      <x:c r="H18" s="6"/>
      <x:c r="I18" s="6"/>
      <x:c r="J18" s="6"/>
      <x:c r="K18" s="6"/>
      <x:c r="L18" s="6"/>
      <x:c r="M18" s="6"/>
      <x:c r="N18" s="6"/>
      <x:c r="O18" s="6"/>
      <x:c r="P18" s="6"/>
      <x:c r="Q18" s="6"/>
    </x:row>
    <x:row r="19" ht="32" customHeight="1">
      <x:c r="A19" s="6" t="str">
        <x:v>T15</x:v>
      </x:c>
      <x:c r="B19" s="22" t="str">
        <x:v>Публикация материалов в общей папке</x:v>
      </x:c>
      <x:c r="C19" s="6" t="str">
        <x:v>A/R</x:v>
      </x:c>
      <x:c r="D19" s="6" t="str">
        <x:v>I</x:v>
      </x:c>
      <x:c r="E19" s="6" t="str">
        <x:v>I</x:v>
      </x:c>
      <x:c r="F19" s="22" t="str">
        <x:v>У1 публикует единую версию артефактов</x:v>
      </x:c>
      <x:c r="G19" s="6"/>
      <x:c r="H19" s="6"/>
      <x:c r="I19" s="6"/>
      <x:c r="J19" s="6"/>
      <x:c r="K19" s="6"/>
      <x:c r="L19" s="6"/>
      <x:c r="M19" s="6"/>
      <x:c r="N19" s="6"/>
      <x:c r="O19" s="6"/>
      <x:c r="P19" s="6"/>
      <x:c r="Q19" s="6"/>
    </x:row>
    <x:row r="20" ht="19" customHeight="1">
      <x:c r="A20" s="6"/>
      <x:c r="B20" s="6"/>
      <x:c r="C20" s="6"/>
      <x:c r="D20" s="6"/>
      <x:c r="E20" s="6"/>
      <x:c r="F20" s="6"/>
      <x:c r="G20" s="6"/>
      <x:c r="H20" s="6"/>
      <x:c r="I20" s="6"/>
      <x:c r="J20" s="6"/>
      <x:c r="K20" s="6"/>
      <x:c r="L20" s="6"/>
      <x:c r="M20" s="6"/>
      <x:c r="N20" s="6"/>
      <x:c r="O20" s="6"/>
      <x:c r="P20" s="6"/>
      <x:c r="Q20" s="6"/>
    </x:row>
    <x:row r="21" ht="19" customHeight="1">
      <x:c r="A21" s="6"/>
      <x:c r="B21" s="6"/>
      <x:c r="C21" s="6"/>
      <x:c r="D21" s="6"/>
      <x:c r="E21" s="6"/>
      <x:c r="F21" s="6"/>
      <x:c r="G21" s="6"/>
      <x:c r="H21" s="6"/>
      <x:c r="I21" s="6"/>
      <x:c r="J21" s="6"/>
      <x:c r="K21" s="6"/>
      <x:c r="L21" s="6"/>
      <x:c r="M21" s="6"/>
      <x:c r="N21" s="6"/>
      <x:c r="O21" s="6"/>
      <x:c r="P21" s="6"/>
      <x:c r="Q21" s="6"/>
    </x:row>
    <x:row r="22" ht="19" customHeight="1">
      <x:c r="A22" s="6"/>
      <x:c r="B22" s="6"/>
      <x:c r="C22" s="6"/>
      <x:c r="D22" s="6"/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  <x:c r="Q22" s="6"/>
    </x:row>
    <x:row r="23" ht="19" customHeight="1">
      <x:c r="A23" s="6"/>
      <x:c r="B23" s="6"/>
      <x:c r="C23" s="6"/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  <x:c r="Q23" s="6"/>
    </x:row>
    <x:row r="24" ht="19" customHeight="1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  <x:c r="Q24" s="6"/>
    </x:row>
    <x:row r="25" ht="19" customHeight="1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  <x:c r="Q25" s="6"/>
    </x:row>
    <x:row r="26" ht="19" customHeight="1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  <x:c r="Q26" s="6"/>
    </x:row>
    <x:row r="27" ht="19" customHeight="1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  <x:c r="Q27" s="6"/>
    </x:row>
    <x:row r="28" ht="19" customHeight="1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  <x:c r="Q28" s="6"/>
    </x:row>
    <x:row r="29" ht="19" customHeight="1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  <x:c r="Q29" s="6"/>
    </x:row>
    <x:row r="30" ht="19" customHeight="1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  <x:c r="Q30" s="6"/>
    </x:row>
    <x:row r="31" ht="19" customHeight="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  <x:c r="Q31" s="6"/>
    </x:row>
    <x:row r="32" ht="19" customHeight="1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  <x:c r="Q32" s="6"/>
    </x:row>
    <x:row r="33" ht="19" customHeight="1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  <x:c r="Q33" s="6"/>
    </x:row>
    <x:row r="34" ht="19" customHeight="1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  <x:c r="Q34" s="6"/>
    </x:row>
    <x:row r="35" ht="19" customHeight="1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  <x:c r="Q35" s="6"/>
    </x:row>
    <x:row r="36" ht="19" customHeight="1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  <x:c r="Q36" s="6"/>
    </x:row>
    <x:row r="37" ht="19" customHeight="1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  <x:c r="Q37" s="6"/>
    </x:row>
    <x:row r="38" ht="19" customHeight="1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  <x:c r="Q38" s="6"/>
    </x:row>
    <x:row r="39" ht="19" customHeight="1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  <x:c r="Q39" s="6"/>
    </x:row>
    <x:row r="40" ht="19" customHeight="1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  <x:c r="Q40" s="6"/>
    </x:row>
    <x:row r="41" ht="19" customHeight="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  <x:c r="Q41" s="6"/>
    </x:row>
    <x:row r="42" ht="19" customHeight="1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  <x:c r="Q42" s="6"/>
    </x:row>
    <x:row r="43" ht="19" customHeight="1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  <x:c r="Q43" s="6"/>
    </x:row>
    <x:row r="44" ht="19" customHeight="1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  <x:c r="Q44" s="6"/>
    </x:row>
    <x:row r="45" ht="19" customHeight="1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  <x:c r="Q45" s="6"/>
    </x:row>
    <x:row r="46" ht="19" customHeight="1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  <x:c r="Q46" s="6"/>
    </x:row>
    <x:row r="47" ht="19" customHeight="1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  <x:c r="Q47" s="6"/>
    </x:row>
    <x:row r="48" ht="19" customHeight="1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  <x:c r="Q48" s="6"/>
    </x:row>
    <x:row r="49" ht="19" customHeight="1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  <x:c r="Q49" s="6"/>
    </x:row>
    <x:row r="50" ht="19" customHeight="1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  <x:c r="Q50" s="6"/>
    </x:row>
    <x:row r="51" ht="19" customHeight="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  <x:c r="Q51" s="6"/>
    </x:row>
    <x:row r="52" ht="19" customHeight="1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  <x:c r="Q52" s="6"/>
    </x:row>
    <x:row r="53" ht="19" customHeight="1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  <x:c r="Q53" s="6"/>
    </x:row>
    <x:row r="54" ht="19" customHeight="1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  <x:c r="Q54" s="6"/>
    </x:row>
    <x:row r="55" ht="19" customHeight="1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  <x:c r="Q55" s="6"/>
    </x:row>
    <x:row r="56" ht="19" customHeight="1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  <x:c r="Q56" s="6"/>
    </x:row>
    <x:row r="57" ht="19" customHeight="1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  <x:c r="Q57" s="6"/>
    </x:row>
    <x:row r="58" ht="19" customHeight="1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  <x:c r="Q58" s="6"/>
    </x:row>
    <x:row r="59" ht="19" customHeight="1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  <x:c r="Q59" s="6"/>
    </x:row>
    <x:row r="60" ht="19" customHeight="1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  <x:c r="Q60" s="6"/>
    </x:row>
    <x:row r="61" ht="19" customHeight="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  <x:c r="Q61" s="6"/>
    </x:row>
    <x:row r="62" ht="19" customHeight="1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  <x:c r="Q62" s="6"/>
    </x:row>
    <x:row r="63" ht="19" customHeight="1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  <x:c r="Q63" s="6"/>
    </x:row>
    <x:row r="64" ht="19" customHeight="1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  <x:c r="Q64" s="6"/>
    </x:row>
    <x:row r="65" ht="19" customHeight="1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</x:row>
    <x:row r="66" ht="19" customHeight="1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  <x:c r="Q66" s="6"/>
    </x:row>
    <x:row r="67" ht="19" customHeight="1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  <x:c r="Q67" s="6"/>
    </x:row>
    <x:row r="68" ht="19" customHeight="1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  <x:c r="Q68" s="6"/>
    </x:row>
    <x:row r="69" ht="19" customHeight="1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  <x:c r="Q69" s="6"/>
    </x:row>
    <x:row r="70" ht="19" customHeight="1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</x:row>
    <x:row r="71" ht="19" customHeight="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  <x:c r="Q71" s="6"/>
    </x:row>
    <x:row r="72" ht="19" customHeight="1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  <x:c r="Q72" s="6"/>
    </x:row>
    <x:row r="73" ht="19" customHeight="1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  <x:c r="Q73" s="6"/>
    </x:row>
    <x:row r="74" ht="19" customHeight="1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  <x:c r="Q74" s="6"/>
    </x:row>
    <x:row r="75" ht="19" customHeight="1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  <x:c r="Q75" s="6"/>
    </x:row>
    <x:row r="76" ht="19" customHeight="1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  <x:c r="Q76" s="6"/>
    </x:row>
    <x:row r="77" ht="19" customHeight="1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  <x:c r="Q77" s="6"/>
    </x:row>
    <x:row r="78" ht="19" customHeight="1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  <x:c r="Q78" s="6"/>
    </x:row>
    <x:row r="79" ht="19" customHeight="1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  <x:c r="Q79" s="6"/>
    </x:row>
    <x:row r="80" ht="19" customHeight="1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  <x:c r="Q80" s="6"/>
    </x:row>
    <x:row r="81" ht="19" customHeight="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  <x:c r="Q81" s="6"/>
    </x:row>
    <x:row r="82" ht="19" customHeight="1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  <x:c r="Q82" s="6"/>
    </x:row>
    <x:row r="83" ht="19" customHeight="1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  <x:c r="Q83" s="6"/>
    </x:row>
    <x:row r="84" ht="19" customHeight="1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  <x:c r="Q84" s="6"/>
    </x:row>
    <x:row r="85" ht="19" customHeight="1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</x:row>
    <x:row r="86" ht="19" customHeight="1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  <x:c r="Q86" s="6"/>
    </x:row>
    <x:row r="87" ht="19" customHeight="1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  <x:c r="Q87" s="6"/>
    </x:row>
    <x:row r="88" ht="19" customHeight="1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  <x:c r="Q88" s="6"/>
    </x:row>
    <x:row r="89" ht="19" customHeight="1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  <x:c r="Q89" s="6"/>
    </x:row>
    <x:row r="90" ht="19" customHeight="1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  <x:c r="Q90" s="6"/>
    </x:row>
    <x:row r="91" ht="19" customHeight="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  <x:c r="Q91" s="6"/>
    </x:row>
    <x:row r="92" ht="19" customHeight="1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  <x:c r="Q92" s="6"/>
    </x:row>
    <x:row r="93" ht="19" customHeight="1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  <x:c r="Q93" s="6"/>
    </x:row>
    <x:row r="94" ht="19" customHeight="1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  <x:c r="Q94" s="6"/>
    </x:row>
    <x:row r="95" ht="19" customHeight="1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  <x:c r="Q95" s="6"/>
    </x:row>
    <x:row r="96" ht="19" customHeight="1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  <x:c r="Q96" s="6"/>
    </x:row>
    <x:row r="97" ht="19" customHeight="1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  <x:c r="Q97" s="6"/>
    </x:row>
    <x:row r="98" ht="19" customHeight="1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  <x:c r="Q98" s="6"/>
    </x:row>
    <x:row r="99" ht="19" customHeight="1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  <x:c r="Q99" s="6"/>
    </x:row>
    <x:row r="100" ht="19" customHeight="1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  <x:c r="Q100" s="6"/>
    </x:row>
    <x:row r="101" ht="19" customHeight="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  <x:c r="L101" s="6"/>
      <x:c r="M101" s="6"/>
      <x:c r="N101" s="6"/>
      <x:c r="O101" s="6"/>
      <x:c r="P101" s="6"/>
      <x:c r="Q101" s="6"/>
    </x:row>
    <x:row r="102" ht="19" customHeight="1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  <x:c r="M102" s="6"/>
      <x:c r="N102" s="6"/>
      <x:c r="O102" s="6"/>
      <x:c r="P102" s="6"/>
      <x:c r="Q102" s="6"/>
    </x:row>
    <x:row r="103" ht="19" customHeight="1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  <x:c r="L103" s="6"/>
      <x:c r="M103" s="6"/>
      <x:c r="N103" s="6"/>
      <x:c r="O103" s="6"/>
      <x:c r="P103" s="6"/>
      <x:c r="Q103" s="6"/>
    </x:row>
    <x:row r="104" ht="19" customHeight="1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  <x:c r="M104" s="6"/>
      <x:c r="N104" s="6"/>
      <x:c r="O104" s="6"/>
      <x:c r="P104" s="6"/>
      <x:c r="Q104" s="6"/>
    </x:row>
    <x:row r="105" ht="19" customHeight="1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  <x:c r="M105" s="6"/>
      <x:c r="N105" s="6"/>
      <x:c r="O105" s="6"/>
      <x:c r="P105" s="6"/>
      <x:c r="Q105" s="6"/>
    </x:row>
    <x:row r="106" ht="19" customHeight="1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  <x:c r="M106" s="6"/>
      <x:c r="N106" s="6"/>
      <x:c r="O106" s="6"/>
      <x:c r="P106" s="6"/>
      <x:c r="Q106" s="6"/>
    </x:row>
    <x:row r="107" ht="19" customHeight="1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  <x:c r="M107" s="6"/>
      <x:c r="N107" s="6"/>
      <x:c r="O107" s="6"/>
      <x:c r="P107" s="6"/>
      <x:c r="Q107" s="6"/>
    </x:row>
    <x:row r="108" ht="19" customHeight="1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  <x:c r="M108" s="6"/>
      <x:c r="N108" s="6"/>
      <x:c r="O108" s="6"/>
      <x:c r="P108" s="6"/>
      <x:c r="Q108" s="6"/>
    </x:row>
    <x:row r="109" ht="19" customHeight="1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  <x:c r="L109" s="6"/>
      <x:c r="M109" s="6"/>
      <x:c r="N109" s="6"/>
      <x:c r="O109" s="6"/>
      <x:c r="P109" s="6"/>
      <x:c r="Q109" s="6"/>
    </x:row>
    <x:row r="110" ht="19" customHeight="1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  <x:c r="L110" s="6"/>
      <x:c r="M110" s="6"/>
      <x:c r="N110" s="6"/>
      <x:c r="O110" s="6"/>
      <x:c r="P110" s="6"/>
      <x:c r="Q110" s="6"/>
    </x:row>
    <x:row r="111" ht="19" customHeight="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  <x:c r="L111" s="6"/>
      <x:c r="M111" s="6"/>
      <x:c r="N111" s="6"/>
      <x:c r="O111" s="6"/>
      <x:c r="P111" s="6"/>
      <x:c r="Q111" s="6"/>
    </x:row>
    <x:row r="112" ht="19" customHeight="1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  <x:c r="L112" s="6"/>
      <x:c r="M112" s="6"/>
      <x:c r="N112" s="6"/>
      <x:c r="O112" s="6"/>
      <x:c r="P112" s="6"/>
      <x:c r="Q112" s="6"/>
    </x:row>
    <x:row r="113" ht="19" customHeight="1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  <x:c r="L113" s="6"/>
      <x:c r="M113" s="6"/>
      <x:c r="N113" s="6"/>
      <x:c r="O113" s="6"/>
      <x:c r="P113" s="6"/>
      <x:c r="Q113" s="6"/>
    </x:row>
    <x:row r="114" ht="19" customHeight="1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  <x:c r="L114" s="6"/>
      <x:c r="M114" s="6"/>
      <x:c r="N114" s="6"/>
      <x:c r="O114" s="6"/>
      <x:c r="P114" s="6"/>
      <x:c r="Q114" s="6"/>
    </x:row>
    <x:row r="115" ht="19" customHeight="1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  <x:c r="M115" s="6"/>
      <x:c r="N115" s="6"/>
      <x:c r="O115" s="6"/>
      <x:c r="P115" s="6"/>
      <x:c r="Q115" s="6"/>
    </x:row>
    <x:row r="116" ht="19" customHeight="1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  <x:c r="L116" s="6"/>
      <x:c r="M116" s="6"/>
      <x:c r="N116" s="6"/>
      <x:c r="O116" s="6"/>
      <x:c r="P116" s="6"/>
      <x:c r="Q116" s="6"/>
    </x:row>
    <x:row r="117" ht="19" customHeight="1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  <x:c r="M117" s="6"/>
      <x:c r="N117" s="6"/>
      <x:c r="O117" s="6"/>
      <x:c r="P117" s="6"/>
      <x:c r="Q117" s="6"/>
    </x:row>
    <x:row r="118" ht="19" customHeight="1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  <x:c r="M118" s="6"/>
      <x:c r="N118" s="6"/>
      <x:c r="O118" s="6"/>
      <x:c r="P118" s="6"/>
      <x:c r="Q118" s="6"/>
    </x:row>
    <x:row r="119" ht="19" customHeight="1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  <x:c r="M119" s="6"/>
      <x:c r="N119" s="6"/>
      <x:c r="O119" s="6"/>
      <x:c r="P119" s="6"/>
      <x:c r="Q119" s="6"/>
    </x:row>
    <x:row r="120" ht="19" customHeight="1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  <x:c r="M120" s="6"/>
      <x:c r="N120" s="6"/>
      <x:c r="O120" s="6"/>
      <x:c r="P120" s="6"/>
      <x:c r="Q120" s="6"/>
    </x:row>
    <x:row r="121" ht="19" customHeight="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  <x:c r="M121" s="6"/>
      <x:c r="N121" s="6"/>
      <x:c r="O121" s="6"/>
      <x:c r="P121" s="6"/>
      <x:c r="Q121" s="6"/>
    </x:row>
    <x:row r="122" ht="19" customHeight="1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  <x:c r="L122" s="6"/>
      <x:c r="M122" s="6"/>
      <x:c r="N122" s="6"/>
      <x:c r="O122" s="6"/>
      <x:c r="P122" s="6"/>
      <x:c r="Q122" s="6"/>
    </x:row>
    <x:row r="123" ht="19" customHeight="1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  <x:c r="L123" s="6"/>
      <x:c r="M123" s="6"/>
      <x:c r="N123" s="6"/>
      <x:c r="O123" s="6"/>
      <x:c r="P123" s="6"/>
      <x:c r="Q123" s="6"/>
    </x:row>
    <x:row r="124" ht="19" customHeight="1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  <x:c r="L124" s="6"/>
      <x:c r="M124" s="6"/>
      <x:c r="N124" s="6"/>
      <x:c r="O124" s="6"/>
      <x:c r="P124" s="6"/>
      <x:c r="Q124" s="6"/>
    </x:row>
    <x:row r="125" ht="19" customHeight="1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  <x:c r="L125" s="6"/>
      <x:c r="M125" s="6"/>
      <x:c r="N125" s="6"/>
      <x:c r="O125" s="6"/>
      <x:c r="P125" s="6"/>
      <x:c r="Q125" s="6"/>
    </x:row>
    <x:row r="126" ht="19" customHeight="1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  <x:c r="L126" s="6"/>
      <x:c r="M126" s="6"/>
      <x:c r="N126" s="6"/>
      <x:c r="O126" s="6"/>
      <x:c r="P126" s="6"/>
      <x:c r="Q126" s="6"/>
    </x:row>
    <x:row r="127" ht="19" customHeight="1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  <x:c r="L127" s="6"/>
      <x:c r="M127" s="6"/>
      <x:c r="N127" s="6"/>
      <x:c r="O127" s="6"/>
      <x:c r="P127" s="6"/>
      <x:c r="Q127" s="6"/>
    </x:row>
    <x:row r="128" ht="19" customHeight="1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  <x:c r="M128" s="6"/>
      <x:c r="N128" s="6"/>
      <x:c r="O128" s="6"/>
      <x:c r="P128" s="6"/>
      <x:c r="Q128" s="6"/>
    </x:row>
    <x:row r="129" ht="19" customHeight="1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  <x:c r="L129" s="6"/>
      <x:c r="M129" s="6"/>
      <x:c r="N129" s="6"/>
      <x:c r="O129" s="6"/>
      <x:c r="P129" s="6"/>
      <x:c r="Q129" s="6"/>
    </x:row>
    <x:row r="130" ht="19" customHeight="1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  <x:c r="M130" s="6"/>
      <x:c r="N130" s="6"/>
      <x:c r="O130" s="6"/>
      <x:c r="P130" s="6"/>
      <x:c r="Q130" s="6"/>
    </x:row>
    <x:row r="131" ht="19" customHeight="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  <x:c r="M131" s="6"/>
      <x:c r="N131" s="6"/>
      <x:c r="O131" s="6"/>
      <x:c r="P131" s="6"/>
      <x:c r="Q131" s="6"/>
    </x:row>
    <x:row r="132" ht="19" customHeight="1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  <x:c r="M132" s="6"/>
      <x:c r="N132" s="6"/>
      <x:c r="O132" s="6"/>
      <x:c r="P132" s="6"/>
      <x:c r="Q132" s="6"/>
    </x:row>
    <x:row r="133" ht="19" customHeight="1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  <x:c r="M133" s="6"/>
      <x:c r="N133" s="6"/>
      <x:c r="O133" s="6"/>
      <x:c r="P133" s="6"/>
      <x:c r="Q133" s="6"/>
    </x:row>
    <x:row r="134" ht="19" customHeight="1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  <x:c r="M134" s="6"/>
      <x:c r="N134" s="6"/>
      <x:c r="O134" s="6"/>
      <x:c r="P134" s="6"/>
      <x:c r="Q134" s="6"/>
    </x:row>
    <x:row r="135" ht="19" customHeight="1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  <x:c r="M135" s="6"/>
      <x:c r="N135" s="6"/>
      <x:c r="O135" s="6"/>
      <x:c r="P135" s="6"/>
      <x:c r="Q135" s="6"/>
    </x:row>
    <x:row r="136" ht="19" customHeight="1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  <x:c r="M136" s="6"/>
      <x:c r="N136" s="6"/>
      <x:c r="O136" s="6"/>
      <x:c r="P136" s="6"/>
      <x:c r="Q136" s="6"/>
    </x:row>
    <x:row r="137" ht="19" customHeight="1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  <x:c r="M137" s="6"/>
      <x:c r="N137" s="6"/>
      <x:c r="O137" s="6"/>
      <x:c r="P137" s="6"/>
      <x:c r="Q137" s="6"/>
    </x:row>
    <x:row r="138" ht="19" customHeight="1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  <x:c r="M138" s="6"/>
      <x:c r="N138" s="6"/>
      <x:c r="O138" s="6"/>
      <x:c r="P138" s="6"/>
      <x:c r="Q138" s="6"/>
    </x:row>
    <x:row r="139" ht="19" customHeight="1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  <x:c r="N139" s="6"/>
      <x:c r="O139" s="6"/>
      <x:c r="P139" s="6"/>
      <x:c r="Q139" s="6"/>
    </x:row>
    <x:row r="140" ht="19" customHeight="1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  <x:c r="M140" s="6"/>
      <x:c r="N140" s="6"/>
      <x:c r="O140" s="6"/>
      <x:c r="P140" s="6"/>
      <x:c r="Q140" s="6"/>
    </x:row>
    <x:row r="141" ht="19" customHeight="1">
      <x:c r="A141" s="6"/>
      <x:c r="B141" s="6"/>
      <x:c r="C141" s="6"/>
      <x:c r="D141" s="6"/>
      <x:c r="E141" s="6"/>
      <x:c r="F141" s="6"/>
      <x:c r="G141" s="6"/>
      <x:c r="H141" s="6"/>
      <x:c r="I141" s="6"/>
      <x:c r="J141" s="6"/>
      <x:c r="K141" s="6"/>
      <x:c r="L141" s="6"/>
      <x:c r="M141" s="6"/>
      <x:c r="N141" s="6"/>
      <x:c r="O141" s="6"/>
      <x:c r="P141" s="6"/>
      <x:c r="Q141" s="6"/>
    </x:row>
    <x:row r="142" ht="19" customHeight="1">
      <x:c r="A142" s="6"/>
      <x:c r="B142" s="6"/>
      <x:c r="C142" s="6"/>
      <x:c r="D142" s="6"/>
      <x:c r="E142" s="6"/>
      <x:c r="F142" s="6"/>
      <x:c r="G142" s="6"/>
      <x:c r="H142" s="6"/>
      <x:c r="I142" s="6"/>
      <x:c r="J142" s="6"/>
      <x:c r="K142" s="6"/>
      <x:c r="L142" s="6"/>
      <x:c r="M142" s="6"/>
      <x:c r="N142" s="6"/>
      <x:c r="O142" s="6"/>
      <x:c r="P142" s="6"/>
      <x:c r="Q142" s="6"/>
    </x:row>
    <x:row r="143" ht="19" customHeight="1">
      <x:c r="A143" s="6"/>
      <x:c r="B143" s="6"/>
      <x:c r="C143" s="6"/>
      <x:c r="D143" s="6"/>
      <x:c r="E143" s="6"/>
      <x:c r="F143" s="6"/>
      <x:c r="G143" s="6"/>
      <x:c r="H143" s="6"/>
      <x:c r="I143" s="6"/>
      <x:c r="J143" s="6"/>
      <x:c r="K143" s="6"/>
      <x:c r="L143" s="6"/>
      <x:c r="M143" s="6"/>
      <x:c r="N143" s="6"/>
      <x:c r="O143" s="6"/>
      <x:c r="P143" s="6"/>
      <x:c r="Q143" s="6"/>
    </x:row>
    <x:row r="144" ht="19" customHeight="1">
      <x:c r="A144" s="6"/>
      <x:c r="B144" s="6"/>
      <x:c r="C144" s="6"/>
      <x:c r="D144" s="6"/>
      <x:c r="E144" s="6"/>
      <x:c r="F144" s="6"/>
      <x:c r="G144" s="6"/>
      <x:c r="H144" s="6"/>
      <x:c r="I144" s="6"/>
      <x:c r="J144" s="6"/>
      <x:c r="K144" s="6"/>
      <x:c r="L144" s="6"/>
      <x:c r="M144" s="6"/>
      <x:c r="N144" s="6"/>
      <x:c r="O144" s="6"/>
      <x:c r="P144" s="6"/>
      <x:c r="Q144" s="6"/>
    </x:row>
    <x:row r="145" ht="19" customHeight="1">
      <x:c r="A145" s="6"/>
      <x:c r="B145" s="6"/>
      <x:c r="C145" s="6"/>
      <x:c r="D145" s="6"/>
      <x:c r="E145" s="6"/>
      <x:c r="F145" s="6"/>
      <x:c r="G145" s="6"/>
      <x:c r="H145" s="6"/>
      <x:c r="I145" s="6"/>
      <x:c r="J145" s="6"/>
      <x:c r="K145" s="6"/>
      <x:c r="L145" s="6"/>
      <x:c r="M145" s="6"/>
      <x:c r="N145" s="6"/>
      <x:c r="O145" s="6"/>
      <x:c r="P145" s="6"/>
      <x:c r="Q145" s="6"/>
    </x:row>
    <x:row r="146" ht="19" customHeight="1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  <x:c r="K146" s="6"/>
      <x:c r="L146" s="6"/>
      <x:c r="M146" s="6"/>
      <x:c r="N146" s="6"/>
      <x:c r="O146" s="6"/>
      <x:c r="P146" s="6"/>
      <x:c r="Q146" s="6"/>
    </x:row>
    <x:row r="147" ht="19" customHeight="1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  <x:c r="K147" s="6"/>
      <x:c r="L147" s="6"/>
      <x:c r="M147" s="6"/>
      <x:c r="N147" s="6"/>
      <x:c r="O147" s="6"/>
      <x:c r="P147" s="6"/>
      <x:c r="Q147" s="6"/>
    </x:row>
    <x:row r="148" ht="19" customHeight="1">
      <x:c r="A148" s="6"/>
      <x:c r="B148" s="6"/>
      <x:c r="C148" s="6"/>
      <x:c r="D148" s="6"/>
      <x:c r="E148" s="6"/>
      <x:c r="F148" s="6"/>
      <x:c r="G148" s="6"/>
      <x:c r="H148" s="6"/>
      <x:c r="I148" s="6"/>
      <x:c r="J148" s="6"/>
      <x:c r="K148" s="6"/>
      <x:c r="L148" s="6"/>
      <x:c r="M148" s="6"/>
      <x:c r="N148" s="6"/>
      <x:c r="O148" s="6"/>
      <x:c r="P148" s="6"/>
      <x:c r="Q148" s="6"/>
    </x:row>
    <x:row r="149" ht="19" customHeight="1">
      <x:c r="A149" s="6"/>
      <x:c r="B149" s="6"/>
      <x:c r="C149" s="6"/>
      <x:c r="D149" s="6"/>
      <x:c r="E149" s="6"/>
      <x:c r="F149" s="6"/>
      <x:c r="G149" s="6"/>
      <x:c r="H149" s="6"/>
      <x:c r="I149" s="6"/>
      <x:c r="J149" s="6"/>
      <x:c r="K149" s="6"/>
      <x:c r="L149" s="6"/>
      <x:c r="M149" s="6"/>
      <x:c r="N149" s="6"/>
      <x:c r="O149" s="6"/>
      <x:c r="P149" s="6"/>
      <x:c r="Q149" s="6"/>
    </x:row>
    <x:row r="150" ht="19" customHeight="1">
      <x:c r="A150" s="6"/>
      <x:c r="B150" s="6"/>
      <x:c r="C150" s="6"/>
      <x:c r="D150" s="6"/>
      <x:c r="E150" s="6"/>
      <x:c r="F150" s="6"/>
      <x:c r="G150" s="6"/>
      <x:c r="H150" s="6"/>
      <x:c r="I150" s="6"/>
      <x:c r="J150" s="6"/>
      <x:c r="K150" s="6"/>
      <x:c r="L150" s="6"/>
      <x:c r="M150" s="6"/>
      <x:c r="N150" s="6"/>
      <x:c r="O150" s="6"/>
      <x:c r="P150" s="6"/>
      <x:c r="Q150" s="6"/>
    </x:row>
    <x:row r="151" ht="19" customHeight="1">
      <x:c r="A151" s="6"/>
      <x:c r="B151" s="6"/>
      <x:c r="C151" s="6"/>
      <x:c r="D151" s="6"/>
      <x:c r="E151" s="6"/>
      <x:c r="F151" s="6"/>
      <x:c r="G151" s="6"/>
      <x:c r="H151" s="6"/>
      <x:c r="I151" s="6"/>
      <x:c r="J151" s="6"/>
      <x:c r="K151" s="6"/>
      <x:c r="L151" s="6"/>
      <x:c r="M151" s="6"/>
      <x:c r="N151" s="6"/>
      <x:c r="O151" s="6"/>
      <x:c r="P151" s="6"/>
      <x:c r="Q151" s="6"/>
    </x:row>
    <x:row r="152" ht="19" customHeight="1">
      <x:c r="A152" s="6"/>
      <x:c r="B152" s="6"/>
      <x:c r="C152" s="6"/>
      <x:c r="D152" s="6"/>
      <x:c r="E152" s="6"/>
      <x:c r="F152" s="6"/>
      <x:c r="G152" s="6"/>
      <x:c r="H152" s="6"/>
      <x:c r="I152" s="6"/>
      <x:c r="J152" s="6"/>
      <x:c r="K152" s="6"/>
      <x:c r="L152" s="6"/>
      <x:c r="M152" s="6"/>
      <x:c r="N152" s="6"/>
      <x:c r="O152" s="6"/>
      <x:c r="P152" s="6"/>
      <x:c r="Q152" s="6"/>
    </x:row>
    <x:row r="153" ht="19" customHeight="1">
      <x:c r="A153" s="6"/>
      <x:c r="B153" s="6"/>
      <x:c r="C153" s="6"/>
      <x:c r="D153" s="6"/>
      <x:c r="E153" s="6"/>
      <x:c r="F153" s="6"/>
      <x:c r="G153" s="6"/>
      <x:c r="H153" s="6"/>
      <x:c r="I153" s="6"/>
      <x:c r="J153" s="6"/>
      <x:c r="K153" s="6"/>
      <x:c r="L153" s="6"/>
      <x:c r="M153" s="6"/>
      <x:c r="N153" s="6"/>
      <x:c r="O153" s="6"/>
      <x:c r="P153" s="6"/>
      <x:c r="Q153" s="6"/>
    </x:row>
    <x:row r="154" ht="19" customHeight="1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  <x:c r="K154" s="6"/>
      <x:c r="L154" s="6"/>
      <x:c r="M154" s="6"/>
      <x:c r="N154" s="6"/>
      <x:c r="O154" s="6"/>
      <x:c r="P154" s="6"/>
      <x:c r="Q154" s="6"/>
    </x:row>
    <x:row r="155" ht="19" customHeight="1">
      <x:c r="A155" s="6"/>
      <x:c r="B155" s="6"/>
      <x:c r="C155" s="6"/>
      <x:c r="D155" s="6"/>
      <x:c r="E155" s="6"/>
      <x:c r="F155" s="6"/>
      <x:c r="G155" s="6"/>
      <x:c r="H155" s="6"/>
      <x:c r="I155" s="6"/>
      <x:c r="J155" s="6"/>
      <x:c r="K155" s="6"/>
      <x:c r="L155" s="6"/>
      <x:c r="M155" s="6"/>
      <x:c r="N155" s="6"/>
      <x:c r="O155" s="6"/>
      <x:c r="P155" s="6"/>
      <x:c r="Q155" s="6"/>
    </x:row>
    <x:row r="156" ht="19" customHeight="1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  <x:c r="K156" s="6"/>
      <x:c r="L156" s="6"/>
      <x:c r="M156" s="6"/>
      <x:c r="N156" s="6"/>
      <x:c r="O156" s="6"/>
      <x:c r="P156" s="6"/>
      <x:c r="Q156" s="6"/>
    </x:row>
    <x:row r="157" ht="19" customHeight="1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  <x:c r="K157" s="6"/>
      <x:c r="L157" s="6"/>
      <x:c r="M157" s="6"/>
      <x:c r="N157" s="6"/>
      <x:c r="O157" s="6"/>
      <x:c r="P157" s="6"/>
      <x:c r="Q157" s="6"/>
    </x:row>
    <x:row r="158" ht="19" customHeight="1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  <x:c r="K158" s="6"/>
      <x:c r="L158" s="6"/>
      <x:c r="M158" s="6"/>
      <x:c r="N158" s="6"/>
      <x:c r="O158" s="6"/>
      <x:c r="P158" s="6"/>
      <x:c r="Q158" s="6"/>
    </x:row>
    <x:row r="159" ht="19" customHeight="1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  <x:c r="K159" s="6"/>
      <x:c r="L159" s="6"/>
      <x:c r="M159" s="6"/>
      <x:c r="N159" s="6"/>
      <x:c r="O159" s="6"/>
      <x:c r="P159" s="6"/>
      <x:c r="Q159" s="6"/>
    </x:row>
    <x:row r="160" ht="19" customHeight="1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  <x:c r="K160" s="6"/>
      <x:c r="L160" s="6"/>
      <x:c r="M160" s="6"/>
      <x:c r="N160" s="6"/>
      <x:c r="O160" s="6"/>
      <x:c r="P160" s="6"/>
      <x:c r="Q160" s="6"/>
    </x:row>
    <x:row r="161" ht="19" customHeight="1">
      <x:c r="A161" s="6"/>
      <x:c r="B161" s="6"/>
      <x:c r="C161" s="6"/>
      <x:c r="D161" s="6"/>
      <x:c r="E161" s="6"/>
      <x:c r="F161" s="6"/>
      <x:c r="G161" s="6"/>
      <x:c r="H161" s="6"/>
      <x:c r="I161" s="6"/>
      <x:c r="J161" s="6"/>
      <x:c r="K161" s="6"/>
      <x:c r="L161" s="6"/>
      <x:c r="M161" s="6"/>
      <x:c r="N161" s="6"/>
      <x:c r="O161" s="6"/>
      <x:c r="P161" s="6"/>
      <x:c r="Q161" s="6"/>
    </x:row>
    <x:row r="162" ht="19" customHeight="1">
      <x:c r="A162" s="6"/>
      <x:c r="B162" s="6"/>
      <x:c r="C162" s="6"/>
      <x:c r="D162" s="6"/>
      <x:c r="E162" s="6"/>
      <x:c r="F162" s="6"/>
      <x:c r="G162" s="6"/>
      <x:c r="H162" s="6"/>
      <x:c r="I162" s="6"/>
      <x:c r="J162" s="6"/>
      <x:c r="K162" s="6"/>
      <x:c r="L162" s="6"/>
      <x:c r="M162" s="6"/>
      <x:c r="N162" s="6"/>
      <x:c r="O162" s="6"/>
      <x:c r="P162" s="6"/>
      <x:c r="Q162" s="6"/>
    </x:row>
    <x:row r="163" ht="19" customHeight="1">
      <x:c r="A163" s="6"/>
      <x:c r="B163" s="6"/>
      <x:c r="C163" s="6"/>
      <x:c r="D163" s="6"/>
      <x:c r="E163" s="6"/>
      <x:c r="F163" s="6"/>
      <x:c r="G163" s="6"/>
      <x:c r="H163" s="6"/>
      <x:c r="I163" s="6"/>
      <x:c r="J163" s="6"/>
      <x:c r="K163" s="6"/>
      <x:c r="L163" s="6"/>
      <x:c r="M163" s="6"/>
      <x:c r="N163" s="6"/>
      <x:c r="O163" s="6"/>
      <x:c r="P163" s="6"/>
      <x:c r="Q163" s="6"/>
    </x:row>
    <x:row r="164" ht="19" customHeight="1">
      <x:c r="A164" s="6"/>
      <x:c r="B164" s="6"/>
      <x:c r="C164" s="6"/>
      <x:c r="D164" s="6"/>
      <x:c r="E164" s="6"/>
      <x:c r="F164" s="6"/>
      <x:c r="G164" s="6"/>
      <x:c r="H164" s="6"/>
      <x:c r="I164" s="6"/>
      <x:c r="J164" s="6"/>
      <x:c r="K164" s="6"/>
      <x:c r="L164" s="6"/>
      <x:c r="M164" s="6"/>
      <x:c r="N164" s="6"/>
      <x:c r="O164" s="6"/>
      <x:c r="P164" s="6"/>
      <x:c r="Q164" s="6"/>
    </x:row>
    <x:row r="165" ht="19" customHeight="1">
      <x:c r="A165" s="6"/>
      <x:c r="B165" s="6"/>
      <x:c r="C165" s="6"/>
      <x:c r="D165" s="6"/>
      <x:c r="E165" s="6"/>
      <x:c r="F165" s="6"/>
      <x:c r="G165" s="6"/>
      <x:c r="H165" s="6"/>
      <x:c r="I165" s="6"/>
      <x:c r="J165" s="6"/>
      <x:c r="K165" s="6"/>
      <x:c r="L165" s="6"/>
      <x:c r="M165" s="6"/>
      <x:c r="N165" s="6"/>
      <x:c r="O165" s="6"/>
      <x:c r="P165" s="6"/>
      <x:c r="Q165" s="6"/>
    </x:row>
    <x:row r="166" ht="19" customHeight="1">
      <x:c r="A166" s="6"/>
      <x:c r="B166" s="6"/>
      <x:c r="C166" s="6"/>
      <x:c r="D166" s="6"/>
      <x:c r="E166" s="6"/>
      <x:c r="F166" s="6"/>
      <x:c r="G166" s="6"/>
      <x:c r="H166" s="6"/>
      <x:c r="I166" s="6"/>
      <x:c r="J166" s="6"/>
      <x:c r="K166" s="6"/>
      <x:c r="L166" s="6"/>
      <x:c r="M166" s="6"/>
      <x:c r="N166" s="6"/>
      <x:c r="O166" s="6"/>
      <x:c r="P166" s="6"/>
      <x:c r="Q166" s="6"/>
    </x:row>
    <x:row r="167" ht="19" customHeight="1">
      <x:c r="A167" s="6"/>
      <x:c r="B167" s="6"/>
      <x:c r="C167" s="6"/>
      <x:c r="D167" s="6"/>
      <x:c r="E167" s="6"/>
      <x:c r="F167" s="6"/>
      <x:c r="G167" s="6"/>
      <x:c r="H167" s="6"/>
      <x:c r="I167" s="6"/>
      <x:c r="J167" s="6"/>
      <x:c r="K167" s="6"/>
      <x:c r="L167" s="6"/>
      <x:c r="M167" s="6"/>
      <x:c r="N167" s="6"/>
      <x:c r="O167" s="6"/>
      <x:c r="P167" s="6"/>
      <x:c r="Q167" s="6"/>
    </x:row>
    <x:row r="168" ht="19" customHeight="1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  <x:c r="K168" s="6"/>
      <x:c r="L168" s="6"/>
      <x:c r="M168" s="6"/>
      <x:c r="N168" s="6"/>
      <x:c r="O168" s="6"/>
      <x:c r="P168" s="6"/>
      <x:c r="Q168" s="6"/>
    </x:row>
    <x:row r="169" ht="19" customHeight="1">
      <x:c r="A169" s="6"/>
      <x:c r="B169" s="6"/>
      <x:c r="C169" s="6"/>
      <x:c r="D169" s="6"/>
      <x:c r="E169" s="6"/>
      <x:c r="F169" s="6"/>
      <x:c r="G169" s="6"/>
      <x:c r="H169" s="6"/>
      <x:c r="I169" s="6"/>
      <x:c r="J169" s="6"/>
      <x:c r="K169" s="6"/>
      <x:c r="L169" s="6"/>
      <x:c r="M169" s="6"/>
      <x:c r="N169" s="6"/>
      <x:c r="O169" s="6"/>
      <x:c r="P169" s="6"/>
      <x:c r="Q169" s="6"/>
    </x:row>
    <x:row r="170" ht="19" customHeight="1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  <x:c r="K170" s="6"/>
      <x:c r="L170" s="6"/>
      <x:c r="M170" s="6"/>
      <x:c r="N170" s="6"/>
      <x:c r="O170" s="6"/>
      <x:c r="P170" s="6"/>
      <x:c r="Q170" s="6"/>
    </x:row>
    <x:row r="171" ht="19" customHeight="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  <x:c r="M171" s="6"/>
      <x:c r="N171" s="6"/>
      <x:c r="O171" s="6"/>
      <x:c r="P171" s="6"/>
      <x:c r="Q171" s="6"/>
    </x:row>
    <x:row r="172" ht="19" customHeight="1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  <x:c r="K172" s="6"/>
      <x:c r="L172" s="6"/>
      <x:c r="M172" s="6"/>
      <x:c r="N172" s="6"/>
      <x:c r="O172" s="6"/>
      <x:c r="P172" s="6"/>
      <x:c r="Q172" s="6"/>
    </x:row>
    <x:row r="173" ht="19" customHeight="1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  <x:c r="K173" s="6"/>
      <x:c r="L173" s="6"/>
      <x:c r="M173" s="6"/>
      <x:c r="N173" s="6"/>
      <x:c r="O173" s="6"/>
      <x:c r="P173" s="6"/>
      <x:c r="Q173" s="6"/>
    </x:row>
    <x:row r="174" ht="19" customHeight="1">
      <x:c r="A174" s="6"/>
      <x:c r="B174" s="6"/>
      <x:c r="C174" s="6"/>
      <x:c r="D174" s="6"/>
      <x:c r="E174" s="6"/>
      <x:c r="F174" s="6"/>
      <x:c r="G174" s="6"/>
      <x:c r="H174" s="6"/>
      <x:c r="I174" s="6"/>
      <x:c r="J174" s="6"/>
      <x:c r="K174" s="6"/>
      <x:c r="L174" s="6"/>
      <x:c r="M174" s="6"/>
      <x:c r="N174" s="6"/>
      <x:c r="O174" s="6"/>
      <x:c r="P174" s="6"/>
      <x:c r="Q174" s="6"/>
    </x:row>
    <x:row r="175" ht="19" customHeight="1">
      <x:c r="A175" s="6"/>
      <x:c r="B175" s="6"/>
      <x:c r="C175" s="6"/>
      <x:c r="D175" s="6"/>
      <x:c r="E175" s="6"/>
      <x:c r="F175" s="6"/>
      <x:c r="G175" s="6"/>
      <x:c r="H175" s="6"/>
      <x:c r="I175" s="6"/>
      <x:c r="J175" s="6"/>
      <x:c r="K175" s="6"/>
      <x:c r="L175" s="6"/>
      <x:c r="M175" s="6"/>
      <x:c r="N175" s="6"/>
      <x:c r="O175" s="6"/>
      <x:c r="P175" s="6"/>
      <x:c r="Q175" s="6"/>
    </x:row>
    <x:row r="176" ht="19" customHeight="1">
      <x:c r="A176" s="6"/>
      <x:c r="B176" s="6"/>
      <x:c r="C176" s="6"/>
      <x:c r="D176" s="6"/>
      <x:c r="E176" s="6"/>
      <x:c r="F176" s="6"/>
      <x:c r="G176" s="6"/>
      <x:c r="H176" s="6"/>
      <x:c r="I176" s="6"/>
      <x:c r="J176" s="6"/>
      <x:c r="K176" s="6"/>
      <x:c r="L176" s="6"/>
      <x:c r="M176" s="6"/>
      <x:c r="N176" s="6"/>
      <x:c r="O176" s="6"/>
      <x:c r="P176" s="6"/>
      <x:c r="Q176" s="6"/>
    </x:row>
    <x:row r="177" ht="19" customHeight="1">
      <x:c r="A177" s="6"/>
      <x:c r="B177" s="6"/>
      <x:c r="C177" s="6"/>
      <x:c r="D177" s="6"/>
      <x:c r="E177" s="6"/>
      <x:c r="F177" s="6"/>
      <x:c r="G177" s="6"/>
      <x:c r="H177" s="6"/>
      <x:c r="I177" s="6"/>
      <x:c r="J177" s="6"/>
      <x:c r="K177" s="6"/>
      <x:c r="L177" s="6"/>
      <x:c r="M177" s="6"/>
      <x:c r="N177" s="6"/>
      <x:c r="O177" s="6"/>
      <x:c r="P177" s="6"/>
      <x:c r="Q177" s="6"/>
    </x:row>
    <x:row r="178" ht="19" customHeight="1">
      <x:c r="A178" s="6"/>
      <x:c r="B178" s="6"/>
      <x:c r="C178" s="6"/>
      <x:c r="D178" s="6"/>
      <x:c r="E178" s="6"/>
      <x:c r="F178" s="6"/>
      <x:c r="G178" s="6"/>
      <x:c r="H178" s="6"/>
      <x:c r="I178" s="6"/>
      <x:c r="J178" s="6"/>
      <x:c r="K178" s="6"/>
      <x:c r="L178" s="6"/>
      <x:c r="M178" s="6"/>
      <x:c r="N178" s="6"/>
      <x:c r="O178" s="6"/>
      <x:c r="P178" s="6"/>
      <x:c r="Q178" s="6"/>
    </x:row>
    <x:row r="179" ht="19" customHeight="1">
      <x:c r="A179" s="6"/>
      <x:c r="B179" s="6"/>
      <x:c r="C179" s="6"/>
      <x:c r="D179" s="6"/>
      <x:c r="E179" s="6"/>
      <x:c r="F179" s="6"/>
      <x:c r="G179" s="6"/>
      <x:c r="H179" s="6"/>
      <x:c r="I179" s="6"/>
      <x:c r="J179" s="6"/>
      <x:c r="K179" s="6"/>
      <x:c r="L179" s="6"/>
      <x:c r="M179" s="6"/>
      <x:c r="N179" s="6"/>
      <x:c r="O179" s="6"/>
      <x:c r="P179" s="6"/>
      <x:c r="Q179" s="6"/>
    </x:row>
    <x:row r="180" ht="19" customHeight="1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  <x:c r="K180" s="6"/>
      <x:c r="L180" s="6"/>
      <x:c r="M180" s="6"/>
      <x:c r="N180" s="6"/>
      <x:c r="O180" s="6"/>
      <x:c r="P180" s="6"/>
      <x:c r="Q180" s="6"/>
    </x:row>
    <x:row r="181" ht="19" customHeight="1">
      <x:c r="A181" s="6"/>
      <x:c r="B181" s="6"/>
      <x:c r="C181" s="6"/>
      <x:c r="D181" s="6"/>
      <x:c r="E181" s="6"/>
      <x:c r="F181" s="6"/>
      <x:c r="G181" s="6"/>
      <x:c r="H181" s="6"/>
      <x:c r="I181" s="6"/>
      <x:c r="J181" s="6"/>
      <x:c r="K181" s="6"/>
      <x:c r="L181" s="6"/>
      <x:c r="M181" s="6"/>
      <x:c r="N181" s="6"/>
      <x:c r="O181" s="6"/>
      <x:c r="P181" s="6"/>
      <x:c r="Q181" s="6"/>
    </x:row>
    <x:row r="182" ht="19" customHeight="1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  <x:c r="K182" s="6"/>
      <x:c r="L182" s="6"/>
      <x:c r="M182" s="6"/>
      <x:c r="N182" s="6"/>
      <x:c r="O182" s="6"/>
      <x:c r="P182" s="6"/>
      <x:c r="Q182" s="6"/>
    </x:row>
    <x:row r="183" ht="19" customHeight="1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  <x:c r="M183" s="6"/>
      <x:c r="N183" s="6"/>
      <x:c r="O183" s="6"/>
      <x:c r="P183" s="6"/>
      <x:c r="Q183" s="6"/>
    </x:row>
    <x:row r="184" ht="19" customHeight="1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  <x:c r="K184" s="6"/>
      <x:c r="L184" s="6"/>
      <x:c r="M184" s="6"/>
      <x:c r="N184" s="6"/>
      <x:c r="O184" s="6"/>
      <x:c r="P184" s="6"/>
      <x:c r="Q184" s="6"/>
    </x:row>
    <x:row r="185" ht="19" customHeight="1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  <x:c r="M185" s="6"/>
      <x:c r="N185" s="6"/>
      <x:c r="O185" s="6"/>
      <x:c r="P185" s="6"/>
      <x:c r="Q185" s="6"/>
    </x:row>
    <x:row r="186" ht="19" customHeight="1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  <x:c r="K186" s="6"/>
      <x:c r="L186" s="6"/>
      <x:c r="M186" s="6"/>
      <x:c r="N186" s="6"/>
      <x:c r="O186" s="6"/>
      <x:c r="P186" s="6"/>
      <x:c r="Q186" s="6"/>
    </x:row>
    <x:row r="187" ht="19" customHeight="1">
      <x:c r="A187" s="6"/>
      <x:c r="B187" s="6"/>
      <x:c r="C187" s="6"/>
      <x:c r="D187" s="6"/>
      <x:c r="E187" s="6"/>
      <x:c r="F187" s="6"/>
      <x:c r="G187" s="6"/>
      <x:c r="H187" s="6"/>
      <x:c r="I187" s="6"/>
      <x:c r="J187" s="6"/>
      <x:c r="K187" s="6"/>
      <x:c r="L187" s="6"/>
      <x:c r="M187" s="6"/>
      <x:c r="N187" s="6"/>
      <x:c r="O187" s="6"/>
      <x:c r="P187" s="6"/>
      <x:c r="Q187" s="6"/>
    </x:row>
    <x:row r="188" ht="19" customHeight="1">
      <x:c r="A188" s="6"/>
      <x:c r="B188" s="6"/>
      <x:c r="C188" s="6"/>
      <x:c r="D188" s="6"/>
      <x:c r="E188" s="6"/>
      <x:c r="F188" s="6"/>
      <x:c r="G188" s="6"/>
      <x:c r="H188" s="6"/>
      <x:c r="I188" s="6"/>
      <x:c r="J188" s="6"/>
      <x:c r="K188" s="6"/>
      <x:c r="L188" s="6"/>
      <x:c r="M188" s="6"/>
      <x:c r="N188" s="6"/>
      <x:c r="O188" s="6"/>
      <x:c r="P188" s="6"/>
      <x:c r="Q188" s="6"/>
    </x:row>
    <x:row r="189" ht="19" customHeight="1">
      <x:c r="A189" s="6"/>
      <x:c r="B189" s="6"/>
      <x:c r="C189" s="6"/>
      <x:c r="D189" s="6"/>
      <x:c r="E189" s="6"/>
      <x:c r="F189" s="6"/>
      <x:c r="G189" s="6"/>
      <x:c r="H189" s="6"/>
      <x:c r="I189" s="6"/>
      <x:c r="J189" s="6"/>
      <x:c r="K189" s="6"/>
      <x:c r="L189" s="6"/>
      <x:c r="M189" s="6"/>
      <x:c r="N189" s="6"/>
      <x:c r="O189" s="6"/>
      <x:c r="P189" s="6"/>
      <x:c r="Q189" s="6"/>
    </x:row>
    <x:row r="190" ht="19" customHeight="1">
      <x:c r="A190" s="6"/>
      <x:c r="B190" s="6"/>
      <x:c r="C190" s="6"/>
      <x:c r="D190" s="6"/>
      <x:c r="E190" s="6"/>
      <x:c r="F190" s="6"/>
      <x:c r="G190" s="6"/>
      <x:c r="H190" s="6"/>
      <x:c r="I190" s="6"/>
      <x:c r="J190" s="6"/>
      <x:c r="K190" s="6"/>
      <x:c r="L190" s="6"/>
      <x:c r="M190" s="6"/>
      <x:c r="N190" s="6"/>
      <x:c r="O190" s="6"/>
      <x:c r="P190" s="6"/>
      <x:c r="Q190" s="6"/>
    </x:row>
    <x:row r="191" ht="19" customHeight="1">
      <x:c r="A191" s="6"/>
      <x:c r="B191" s="6"/>
      <x:c r="C191" s="6"/>
      <x:c r="D191" s="6"/>
      <x:c r="E191" s="6"/>
      <x:c r="F191" s="6"/>
      <x:c r="G191" s="6"/>
      <x:c r="H191" s="6"/>
      <x:c r="I191" s="6"/>
      <x:c r="J191" s="6"/>
      <x:c r="K191" s="6"/>
      <x:c r="L191" s="6"/>
      <x:c r="M191" s="6"/>
      <x:c r="N191" s="6"/>
      <x:c r="O191" s="6"/>
      <x:c r="P191" s="6"/>
      <x:c r="Q191" s="6"/>
    </x:row>
    <x:row r="192" ht="19" customHeight="1">
      <x:c r="A192" s="6"/>
      <x:c r="B192" s="6"/>
      <x:c r="C192" s="6"/>
      <x:c r="D192" s="6"/>
      <x:c r="E192" s="6"/>
      <x:c r="F192" s="6"/>
      <x:c r="G192" s="6"/>
      <x:c r="H192" s="6"/>
      <x:c r="I192" s="6"/>
      <x:c r="J192" s="6"/>
      <x:c r="K192" s="6"/>
      <x:c r="L192" s="6"/>
      <x:c r="M192" s="6"/>
      <x:c r="N192" s="6"/>
      <x:c r="O192" s="6"/>
      <x:c r="P192" s="6"/>
      <x:c r="Q192" s="6"/>
    </x:row>
    <x:row r="193" ht="19" customHeight="1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  <x:c r="M193" s="6"/>
      <x:c r="N193" s="6"/>
      <x:c r="O193" s="6"/>
      <x:c r="P193" s="6"/>
      <x:c r="Q193" s="6"/>
    </x:row>
    <x:row r="194" ht="19" customHeight="1">
      <x:c r="A194" s="6"/>
      <x:c r="B194" s="6"/>
      <x:c r="C194" s="6"/>
      <x:c r="D194" s="6"/>
      <x:c r="E194" s="6"/>
      <x:c r="F194" s="6"/>
      <x:c r="G194" s="6"/>
      <x:c r="H194" s="6"/>
      <x:c r="I194" s="6"/>
      <x:c r="J194" s="6"/>
      <x:c r="K194" s="6"/>
      <x:c r="L194" s="6"/>
      <x:c r="M194" s="6"/>
      <x:c r="N194" s="6"/>
      <x:c r="O194" s="6"/>
      <x:c r="P194" s="6"/>
      <x:c r="Q194" s="6"/>
    </x:row>
    <x:row r="195" ht="19" customHeight="1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  <x:c r="M195" s="6"/>
      <x:c r="N195" s="6"/>
      <x:c r="O195" s="6"/>
      <x:c r="P195" s="6"/>
      <x:c r="Q195" s="6"/>
    </x:row>
    <x:row r="196" ht="19" customHeight="1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  <x:c r="K196" s="6"/>
      <x:c r="L196" s="6"/>
      <x:c r="M196" s="6"/>
      <x:c r="N196" s="6"/>
      <x:c r="O196" s="6"/>
      <x:c r="P196" s="6"/>
      <x:c r="Q196" s="6"/>
    </x:row>
    <x:row r="197" ht="19" customHeight="1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  <x:c r="K197" s="6"/>
      <x:c r="L197" s="6"/>
      <x:c r="M197" s="6"/>
      <x:c r="N197" s="6"/>
      <x:c r="O197" s="6"/>
      <x:c r="P197" s="6"/>
      <x:c r="Q197" s="6"/>
    </x:row>
    <x:row r="198" ht="19" customHeight="1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  <x:c r="K198" s="6"/>
      <x:c r="L198" s="6"/>
      <x:c r="M198" s="6"/>
      <x:c r="N198" s="6"/>
      <x:c r="O198" s="6"/>
      <x:c r="P198" s="6"/>
      <x:c r="Q198" s="6"/>
    </x:row>
    <x:row r="199" ht="19" customHeight="1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  <x:c r="K199" s="6"/>
      <x:c r="L199" s="6"/>
      <x:c r="M199" s="6"/>
      <x:c r="N199" s="6"/>
      <x:c r="O199" s="6"/>
      <x:c r="P199" s="6"/>
      <x:c r="Q199" s="6"/>
    </x:row>
    <x:row r="200" ht="19" customHeight="1">
      <x:c r="A200" s="6"/>
      <x:c r="B200" s="6"/>
      <x:c r="C200" s="6"/>
      <x:c r="D200" s="6"/>
      <x:c r="E200" s="6"/>
      <x:c r="F200" s="6"/>
      <x:c r="G200" s="6"/>
      <x:c r="H200" s="6"/>
      <x:c r="I200" s="6"/>
      <x:c r="J200" s="6"/>
      <x:c r="K200" s="6"/>
      <x:c r="L200" s="6"/>
      <x:c r="M200" s="6"/>
      <x:c r="N200" s="6"/>
      <x:c r="O200" s="6"/>
      <x:c r="P200" s="6"/>
      <x:c r="Q200" s="6"/>
    </x:row>
    <x:row r="201" ht="19" customHeight="1">
      <x:c r="A201" s="6"/>
      <x:c r="B201" s="6"/>
      <x:c r="C201" s="6"/>
      <x:c r="D201" s="6"/>
      <x:c r="E201" s="6"/>
      <x:c r="F201" s="6"/>
      <x:c r="G201" s="6"/>
      <x:c r="H201" s="6"/>
      <x:c r="I201" s="6"/>
      <x:c r="J201" s="6"/>
      <x:c r="K201" s="6"/>
      <x:c r="L201" s="6"/>
      <x:c r="M201" s="6"/>
      <x:c r="N201" s="6"/>
      <x:c r="O201" s="6"/>
      <x:c r="P201" s="6"/>
      <x:c r="Q201" s="6"/>
    </x:row>
    <x:row r="202" ht="19" customHeight="1">
      <x:c r="A202" s="6"/>
      <x:c r="B202" s="6"/>
      <x:c r="C202" s="6"/>
      <x:c r="D202" s="6"/>
      <x:c r="E202" s="6"/>
      <x:c r="F202" s="6"/>
      <x:c r="G202" s="6"/>
      <x:c r="H202" s="6"/>
      <x:c r="I202" s="6"/>
      <x:c r="J202" s="6"/>
      <x:c r="K202" s="6"/>
      <x:c r="L202" s="6"/>
      <x:c r="M202" s="6"/>
      <x:c r="N202" s="6"/>
      <x:c r="O202" s="6"/>
      <x:c r="P202" s="6"/>
      <x:c r="Q202" s="6"/>
    </x:row>
    <x:row r="203" ht="19" customHeight="1">
      <x:c r="A203" s="6"/>
      <x:c r="B203" s="6"/>
      <x:c r="C203" s="6"/>
      <x:c r="D203" s="6"/>
      <x:c r="E203" s="6"/>
      <x:c r="F203" s="6"/>
      <x:c r="G203" s="6"/>
      <x:c r="H203" s="6"/>
      <x:c r="I203" s="6"/>
      <x:c r="J203" s="6"/>
      <x:c r="K203" s="6"/>
      <x:c r="L203" s="6"/>
      <x:c r="M203" s="6"/>
      <x:c r="N203" s="6"/>
      <x:c r="O203" s="6"/>
      <x:c r="P203" s="6"/>
      <x:c r="Q203" s="6"/>
    </x:row>
    <x:row r="204" ht="19" customHeight="1">
      <x:c r="A204" s="6"/>
      <x:c r="B204" s="6"/>
      <x:c r="C204" s="6"/>
      <x:c r="D204" s="6"/>
      <x:c r="E204" s="6"/>
      <x:c r="F204" s="6"/>
      <x:c r="G204" s="6"/>
      <x:c r="H204" s="6"/>
      <x:c r="I204" s="6"/>
      <x:c r="J204" s="6"/>
      <x:c r="K204" s="6"/>
      <x:c r="L204" s="6"/>
      <x:c r="M204" s="6"/>
      <x:c r="N204" s="6"/>
      <x:c r="O204" s="6"/>
      <x:c r="P204" s="6"/>
      <x:c r="Q204" s="6"/>
    </x:row>
    <x:row r="205" ht="19" customHeight="1">
      <x:c r="A205" s="6"/>
      <x:c r="B205" s="6"/>
      <x:c r="C205" s="6"/>
      <x:c r="D205" s="6"/>
      <x:c r="E205" s="6"/>
      <x:c r="F205" s="6"/>
      <x:c r="G205" s="6"/>
      <x:c r="H205" s="6"/>
      <x:c r="I205" s="6"/>
      <x:c r="J205" s="6"/>
      <x:c r="K205" s="6"/>
      <x:c r="L205" s="6"/>
      <x:c r="M205" s="6"/>
      <x:c r="N205" s="6"/>
      <x:c r="O205" s="6"/>
      <x:c r="P205" s="6"/>
      <x:c r="Q205" s="6"/>
    </x:row>
    <x:row r="206" ht="19" customHeight="1">
      <x:c r="A206" s="6"/>
      <x:c r="B206" s="6"/>
      <x:c r="C206" s="6"/>
      <x:c r="D206" s="6"/>
      <x:c r="E206" s="6"/>
      <x:c r="F206" s="6"/>
      <x:c r="G206" s="6"/>
      <x:c r="H206" s="6"/>
      <x:c r="I206" s="6"/>
      <x:c r="J206" s="6"/>
      <x:c r="K206" s="6"/>
      <x:c r="L206" s="6"/>
      <x:c r="M206" s="6"/>
      <x:c r="N206" s="6"/>
      <x:c r="O206" s="6"/>
      <x:c r="P206" s="6"/>
      <x:c r="Q206" s="6"/>
    </x:row>
    <x:row r="207" ht="19" customHeight="1">
      <x:c r="A207" s="6"/>
      <x:c r="B207" s="6"/>
      <x:c r="C207" s="6"/>
      <x:c r="D207" s="6"/>
      <x:c r="E207" s="6"/>
      <x:c r="F207" s="6"/>
      <x:c r="G207" s="6"/>
      <x:c r="H207" s="6"/>
      <x:c r="I207" s="6"/>
      <x:c r="J207" s="6"/>
      <x:c r="K207" s="6"/>
      <x:c r="L207" s="6"/>
      <x:c r="M207" s="6"/>
      <x:c r="N207" s="6"/>
      <x:c r="O207" s="6"/>
      <x:c r="P207" s="6"/>
      <x:c r="Q207" s="6"/>
    </x:row>
    <x:row r="208" ht="19" customHeight="1">
      <x:c r="A208" s="6"/>
      <x:c r="B208" s="6"/>
      <x:c r="C208" s="6"/>
      <x:c r="D208" s="6"/>
      <x:c r="E208" s="6"/>
      <x:c r="F208" s="6"/>
      <x:c r="G208" s="6"/>
      <x:c r="H208" s="6"/>
      <x:c r="I208" s="6"/>
      <x:c r="J208" s="6"/>
      <x:c r="K208" s="6"/>
      <x:c r="L208" s="6"/>
      <x:c r="M208" s="6"/>
      <x:c r="N208" s="6"/>
      <x:c r="O208" s="6"/>
      <x:c r="P208" s="6"/>
      <x:c r="Q208" s="6"/>
    </x:row>
    <x:row r="209" ht="19" customHeight="1">
      <x:c r="A209" s="6"/>
      <x:c r="B209" s="6"/>
      <x:c r="C209" s="6"/>
      <x:c r="D209" s="6"/>
      <x:c r="E209" s="6"/>
      <x:c r="F209" s="6"/>
      <x:c r="G209" s="6"/>
      <x:c r="H209" s="6"/>
      <x:c r="I209" s="6"/>
      <x:c r="J209" s="6"/>
      <x:c r="K209" s="6"/>
      <x:c r="L209" s="6"/>
      <x:c r="M209" s="6"/>
      <x:c r="N209" s="6"/>
      <x:c r="O209" s="6"/>
      <x:c r="P209" s="6"/>
      <x:c r="Q209" s="6"/>
    </x:row>
    <x:row r="210" ht="19" customHeight="1">
      <x:c r="A210" s="6"/>
      <x:c r="B210" s="6"/>
      <x:c r="C210" s="6"/>
      <x:c r="D210" s="6"/>
      <x:c r="E210" s="6"/>
      <x:c r="F210" s="6"/>
      <x:c r="G210" s="6"/>
      <x:c r="H210" s="6"/>
      <x:c r="I210" s="6"/>
      <x:c r="J210" s="6"/>
      <x:c r="K210" s="6"/>
      <x:c r="L210" s="6"/>
      <x:c r="M210" s="6"/>
      <x:c r="N210" s="6"/>
      <x:c r="O210" s="6"/>
      <x:c r="P210" s="6"/>
      <x:c r="Q210" s="6"/>
    </x:row>
    <x:row r="211" ht="19" customHeight="1">
      <x:c r="A211" s="6"/>
      <x:c r="B211" s="6"/>
      <x:c r="C211" s="6"/>
      <x:c r="D211" s="6"/>
      <x:c r="E211" s="6"/>
      <x:c r="F211" s="6"/>
      <x:c r="G211" s="6"/>
      <x:c r="H211" s="6"/>
      <x:c r="I211" s="6"/>
      <x:c r="J211" s="6"/>
      <x:c r="K211" s="6"/>
      <x:c r="L211" s="6"/>
      <x:c r="M211" s="6"/>
      <x:c r="N211" s="6"/>
      <x:c r="O211" s="6"/>
      <x:c r="P211" s="6"/>
      <x:c r="Q211" s="6"/>
    </x:row>
    <x:row r="212" ht="19" customHeight="1">
      <x:c r="A212" s="6"/>
      <x:c r="B212" s="6"/>
      <x:c r="C212" s="6"/>
      <x:c r="D212" s="6"/>
      <x:c r="E212" s="6"/>
      <x:c r="F212" s="6"/>
      <x:c r="G212" s="6"/>
      <x:c r="H212" s="6"/>
      <x:c r="I212" s="6"/>
      <x:c r="J212" s="6"/>
      <x:c r="K212" s="6"/>
      <x:c r="L212" s="6"/>
      <x:c r="M212" s="6"/>
      <x:c r="N212" s="6"/>
      <x:c r="O212" s="6"/>
      <x:c r="P212" s="6"/>
      <x:c r="Q212" s="6"/>
    </x:row>
    <x:row r="213" ht="19" customHeight="1">
      <x:c r="A213" s="6"/>
      <x:c r="B213" s="6"/>
      <x:c r="C213" s="6"/>
      <x:c r="D213" s="6"/>
      <x:c r="E213" s="6"/>
      <x:c r="F213" s="6"/>
      <x:c r="G213" s="6"/>
      <x:c r="H213" s="6"/>
      <x:c r="I213" s="6"/>
      <x:c r="J213" s="6"/>
      <x:c r="K213" s="6"/>
      <x:c r="L213" s="6"/>
      <x:c r="M213" s="6"/>
      <x:c r="N213" s="6"/>
      <x:c r="O213" s="6"/>
      <x:c r="P213" s="6"/>
      <x:c r="Q213" s="6"/>
    </x:row>
    <x:row r="214" ht="19" customHeight="1">
      <x:c r="A214" s="6"/>
      <x:c r="B214" s="6"/>
      <x:c r="C214" s="6"/>
      <x:c r="D214" s="6"/>
      <x:c r="E214" s="6"/>
      <x:c r="F214" s="6"/>
      <x:c r="G214" s="6"/>
      <x:c r="H214" s="6"/>
      <x:c r="I214" s="6"/>
      <x:c r="J214" s="6"/>
      <x:c r="K214" s="6"/>
      <x:c r="L214" s="6"/>
      <x:c r="M214" s="6"/>
      <x:c r="N214" s="6"/>
      <x:c r="O214" s="6"/>
      <x:c r="P214" s="6"/>
      <x:c r="Q214" s="6"/>
    </x:row>
    <x:row r="215" ht="19" customHeight="1">
      <x:c r="A215" s="6"/>
      <x:c r="B215" s="6"/>
      <x:c r="C215" s="6"/>
      <x:c r="D215" s="6"/>
      <x:c r="E215" s="6"/>
      <x:c r="F215" s="6"/>
      <x:c r="G215" s="6"/>
      <x:c r="H215" s="6"/>
      <x:c r="I215" s="6"/>
      <x:c r="J215" s="6"/>
      <x:c r="K215" s="6"/>
      <x:c r="L215" s="6"/>
      <x:c r="M215" s="6"/>
      <x:c r="N215" s="6"/>
      <x:c r="O215" s="6"/>
      <x:c r="P215" s="6"/>
      <x:c r="Q215" s="6"/>
    </x:row>
    <x:row r="216" ht="19" customHeight="1">
      <x:c r="A216" s="6"/>
      <x:c r="B216" s="6"/>
      <x:c r="C216" s="6"/>
      <x:c r="D216" s="6"/>
      <x:c r="E216" s="6"/>
      <x:c r="F216" s="6"/>
      <x:c r="G216" s="6"/>
      <x:c r="H216" s="6"/>
      <x:c r="I216" s="6"/>
      <x:c r="J216" s="6"/>
      <x:c r="K216" s="6"/>
      <x:c r="L216" s="6"/>
      <x:c r="M216" s="6"/>
      <x:c r="N216" s="6"/>
      <x:c r="O216" s="6"/>
      <x:c r="P216" s="6"/>
      <x:c r="Q216" s="6"/>
    </x:row>
    <x:row r="217" ht="19" customHeight="1">
      <x:c r="A217" s="6"/>
      <x:c r="B217" s="6"/>
      <x:c r="C217" s="6"/>
      <x:c r="D217" s="6"/>
      <x:c r="E217" s="6"/>
      <x:c r="F217" s="6"/>
      <x:c r="G217" s="6"/>
      <x:c r="H217" s="6"/>
      <x:c r="I217" s="6"/>
      <x:c r="J217" s="6"/>
      <x:c r="K217" s="6"/>
      <x:c r="L217" s="6"/>
      <x:c r="M217" s="6"/>
      <x:c r="N217" s="6"/>
      <x:c r="O217" s="6"/>
      <x:c r="P217" s="6"/>
      <x:c r="Q217" s="6"/>
    </x:row>
    <x:row r="218" ht="19" customHeight="1">
      <x:c r="A218" s="6"/>
      <x:c r="B218" s="6"/>
      <x:c r="C218" s="6"/>
      <x:c r="D218" s="6"/>
      <x:c r="E218" s="6"/>
      <x:c r="F218" s="6"/>
      <x:c r="G218" s="6"/>
      <x:c r="H218" s="6"/>
      <x:c r="I218" s="6"/>
      <x:c r="J218" s="6"/>
      <x:c r="K218" s="6"/>
      <x:c r="L218" s="6"/>
      <x:c r="M218" s="6"/>
      <x:c r="N218" s="6"/>
      <x:c r="O218" s="6"/>
      <x:c r="P218" s="6"/>
      <x:c r="Q218" s="6"/>
    </x:row>
    <x:row r="219" ht="19" customHeight="1">
      <x:c r="A219" s="6"/>
      <x:c r="B219" s="6"/>
      <x:c r="C219" s="6"/>
      <x:c r="D219" s="6"/>
      <x:c r="E219" s="6"/>
      <x:c r="F219" s="6"/>
      <x:c r="G219" s="6"/>
      <x:c r="H219" s="6"/>
      <x:c r="I219" s="6"/>
      <x:c r="J219" s="6"/>
      <x:c r="K219" s="6"/>
      <x:c r="L219" s="6"/>
      <x:c r="M219" s="6"/>
      <x:c r="N219" s="6"/>
      <x:c r="O219" s="6"/>
      <x:c r="P219" s="6"/>
      <x:c r="Q219" s="6"/>
    </x:row>
    <x:row r="220" ht="19" customHeight="1">
      <x:c r="A220" s="6"/>
      <x:c r="B220" s="6"/>
      <x:c r="C220" s="6"/>
      <x:c r="D220" s="6"/>
      <x:c r="E220" s="6"/>
      <x:c r="F220" s="6"/>
      <x:c r="G220" s="6"/>
      <x:c r="H220" s="6"/>
      <x:c r="I220" s="6"/>
      <x:c r="J220" s="6"/>
      <x:c r="K220" s="6"/>
      <x:c r="L220" s="6"/>
      <x:c r="M220" s="6"/>
      <x:c r="N220" s="6"/>
      <x:c r="O220" s="6"/>
      <x:c r="P220" s="6"/>
      <x:c r="Q220" s="6"/>
    </x:row>
    <x:row r="221" ht="19" customHeight="1">
      <x:c r="A221" s="6"/>
      <x:c r="B221" s="6"/>
      <x:c r="C221" s="6"/>
      <x:c r="D221" s="6"/>
      <x:c r="E221" s="6"/>
      <x:c r="F221" s="6"/>
      <x:c r="G221" s="6"/>
      <x:c r="H221" s="6"/>
      <x:c r="I221" s="6"/>
      <x:c r="J221" s="6"/>
      <x:c r="K221" s="6"/>
      <x:c r="L221" s="6"/>
      <x:c r="M221" s="6"/>
      <x:c r="N221" s="6"/>
      <x:c r="O221" s="6"/>
      <x:c r="P221" s="6"/>
      <x:c r="Q221" s="6"/>
    </x:row>
    <x:row r="222" ht="19" customHeight="1">
      <x:c r="A222" s="6"/>
      <x:c r="B222" s="6"/>
      <x:c r="C222" s="6"/>
      <x:c r="D222" s="6"/>
      <x:c r="E222" s="6"/>
      <x:c r="F222" s="6"/>
      <x:c r="G222" s="6"/>
      <x:c r="H222" s="6"/>
      <x:c r="I222" s="6"/>
      <x:c r="J222" s="6"/>
      <x:c r="K222" s="6"/>
      <x:c r="L222" s="6"/>
      <x:c r="M222" s="6"/>
      <x:c r="N222" s="6"/>
      <x:c r="O222" s="6"/>
      <x:c r="P222" s="6"/>
      <x:c r="Q222" s="6"/>
    </x:row>
    <x:row r="223" ht="19" customHeight="1">
      <x:c r="A223" s="6"/>
      <x:c r="B223" s="6"/>
      <x:c r="C223" s="6"/>
      <x:c r="D223" s="6"/>
      <x:c r="E223" s="6"/>
      <x:c r="F223" s="6"/>
      <x:c r="G223" s="6"/>
      <x:c r="H223" s="6"/>
      <x:c r="I223" s="6"/>
      <x:c r="J223" s="6"/>
      <x:c r="K223" s="6"/>
      <x:c r="L223" s="6"/>
      <x:c r="M223" s="6"/>
      <x:c r="N223" s="6"/>
      <x:c r="O223" s="6"/>
      <x:c r="P223" s="6"/>
      <x:c r="Q223" s="6"/>
    </x:row>
    <x:row r="224" ht="19" customHeight="1">
      <x:c r="A224" s="6"/>
      <x:c r="B224" s="6"/>
      <x:c r="C224" s="6"/>
      <x:c r="D224" s="6"/>
      <x:c r="E224" s="6"/>
      <x:c r="F224" s="6"/>
      <x:c r="G224" s="6"/>
      <x:c r="H224" s="6"/>
      <x:c r="I224" s="6"/>
      <x:c r="J224" s="6"/>
      <x:c r="K224" s="6"/>
      <x:c r="L224" s="6"/>
      <x:c r="M224" s="6"/>
      <x:c r="N224" s="6"/>
      <x:c r="O224" s="6"/>
      <x:c r="P224" s="6"/>
      <x:c r="Q224" s="6"/>
    </x:row>
    <x:row r="225" ht="19" customHeight="1">
      <x:c r="A225" s="6"/>
      <x:c r="B225" s="6"/>
      <x:c r="C225" s="6"/>
      <x:c r="D225" s="6"/>
      <x:c r="E225" s="6"/>
      <x:c r="F225" s="6"/>
      <x:c r="G225" s="6"/>
      <x:c r="H225" s="6"/>
      <x:c r="I225" s="6"/>
      <x:c r="J225" s="6"/>
      <x:c r="K225" s="6"/>
      <x:c r="L225" s="6"/>
      <x:c r="M225" s="6"/>
      <x:c r="N225" s="6"/>
      <x:c r="O225" s="6"/>
      <x:c r="P225" s="6"/>
      <x:c r="Q225" s="6"/>
    </x:row>
    <x:row r="226" ht="19" customHeight="1">
      <x:c r="A226" s="6"/>
      <x:c r="B226" s="6"/>
      <x:c r="C226" s="6"/>
      <x:c r="D226" s="6"/>
      <x:c r="E226" s="6"/>
      <x:c r="F226" s="6"/>
      <x:c r="G226" s="6"/>
      <x:c r="H226" s="6"/>
      <x:c r="I226" s="6"/>
      <x:c r="J226" s="6"/>
      <x:c r="K226" s="6"/>
      <x:c r="L226" s="6"/>
      <x:c r="M226" s="6"/>
      <x:c r="N226" s="6"/>
      <x:c r="O226" s="6"/>
      <x:c r="P226" s="6"/>
      <x:c r="Q226" s="6"/>
    </x:row>
    <x:row r="227" ht="19" customHeight="1">
      <x:c r="A227" s="6"/>
      <x:c r="B227" s="6"/>
      <x:c r="C227" s="6"/>
      <x:c r="D227" s="6"/>
      <x:c r="E227" s="6"/>
      <x:c r="F227" s="6"/>
      <x:c r="G227" s="6"/>
      <x:c r="H227" s="6"/>
      <x:c r="I227" s="6"/>
      <x:c r="J227" s="6"/>
      <x:c r="K227" s="6"/>
      <x:c r="L227" s="6"/>
      <x:c r="M227" s="6"/>
      <x:c r="N227" s="6"/>
      <x:c r="O227" s="6"/>
      <x:c r="P227" s="6"/>
      <x:c r="Q227" s="6"/>
    </x:row>
    <x:row r="228" ht="19" customHeight="1">
      <x:c r="A228" s="6"/>
      <x:c r="B228" s="6"/>
      <x:c r="C228" s="6"/>
      <x:c r="D228" s="6"/>
      <x:c r="E228" s="6"/>
      <x:c r="F228" s="6"/>
      <x:c r="G228" s="6"/>
      <x:c r="H228" s="6"/>
      <x:c r="I228" s="6"/>
      <x:c r="J228" s="6"/>
      <x:c r="K228" s="6"/>
      <x:c r="L228" s="6"/>
      <x:c r="M228" s="6"/>
      <x:c r="N228" s="6"/>
      <x:c r="O228" s="6"/>
      <x:c r="P228" s="6"/>
      <x:c r="Q228" s="6"/>
    </x:row>
    <x:row r="229" ht="19" customHeight="1">
      <x:c r="A229" s="6"/>
      <x:c r="B229" s="6"/>
      <x:c r="C229" s="6"/>
      <x:c r="D229" s="6"/>
      <x:c r="E229" s="6"/>
      <x:c r="F229" s="6"/>
      <x:c r="G229" s="6"/>
      <x:c r="H229" s="6"/>
      <x:c r="I229" s="6"/>
      <x:c r="J229" s="6"/>
      <x:c r="K229" s="6"/>
      <x:c r="L229" s="6"/>
      <x:c r="M229" s="6"/>
      <x:c r="N229" s="6"/>
      <x:c r="O229" s="6"/>
      <x:c r="P229" s="6"/>
      <x:c r="Q229" s="6"/>
    </x:row>
    <x:row r="230" ht="19" customHeight="1">
      <x:c r="A230" s="6"/>
      <x:c r="B230" s="6"/>
      <x:c r="C230" s="6"/>
      <x:c r="D230" s="6"/>
      <x:c r="E230" s="6"/>
      <x:c r="F230" s="6"/>
      <x:c r="G230" s="6"/>
      <x:c r="H230" s="6"/>
      <x:c r="I230" s="6"/>
      <x:c r="J230" s="6"/>
      <x:c r="K230" s="6"/>
      <x:c r="L230" s="6"/>
      <x:c r="M230" s="6"/>
      <x:c r="N230" s="6"/>
      <x:c r="O230" s="6"/>
      <x:c r="P230" s="6"/>
      <x:c r="Q230" s="6"/>
    </x:row>
    <x:row r="231" ht="19" customHeight="1">
      <x:c r="A231" s="6"/>
      <x:c r="B231" s="6"/>
      <x:c r="C231" s="6"/>
      <x:c r="D231" s="6"/>
      <x:c r="E231" s="6"/>
      <x:c r="F231" s="6"/>
      <x:c r="G231" s="6"/>
      <x:c r="H231" s="6"/>
      <x:c r="I231" s="6"/>
      <x:c r="J231" s="6"/>
      <x:c r="K231" s="6"/>
      <x:c r="L231" s="6"/>
      <x:c r="M231" s="6"/>
      <x:c r="N231" s="6"/>
      <x:c r="O231" s="6"/>
      <x:c r="P231" s="6"/>
      <x:c r="Q231" s="6"/>
    </x:row>
    <x:row r="232" ht="19" customHeight="1">
      <x:c r="A232" s="6"/>
      <x:c r="B232" s="6"/>
      <x:c r="C232" s="6"/>
      <x:c r="D232" s="6"/>
      <x:c r="E232" s="6"/>
      <x:c r="F232" s="6"/>
      <x:c r="G232" s="6"/>
      <x:c r="H232" s="6"/>
      <x:c r="I232" s="6"/>
      <x:c r="J232" s="6"/>
      <x:c r="K232" s="6"/>
      <x:c r="L232" s="6"/>
      <x:c r="M232" s="6"/>
      <x:c r="N232" s="6"/>
      <x:c r="O232" s="6"/>
      <x:c r="P232" s="6"/>
      <x:c r="Q232" s="6"/>
    </x:row>
    <x:row r="233" ht="19" customHeight="1">
      <x:c r="A233" s="6"/>
      <x:c r="B233" s="6"/>
      <x:c r="C233" s="6"/>
      <x:c r="D233" s="6"/>
      <x:c r="E233" s="6"/>
      <x:c r="F233" s="6"/>
      <x:c r="G233" s="6"/>
      <x:c r="H233" s="6"/>
      <x:c r="I233" s="6"/>
      <x:c r="J233" s="6"/>
      <x:c r="K233" s="6"/>
      <x:c r="L233" s="6"/>
      <x:c r="M233" s="6"/>
      <x:c r="N233" s="6"/>
      <x:c r="O233" s="6"/>
      <x:c r="P233" s="6"/>
      <x:c r="Q233" s="6"/>
    </x:row>
    <x:row r="234" ht="19" customHeight="1">
      <x:c r="A234" s="6"/>
      <x:c r="B234" s="6"/>
      <x:c r="C234" s="6"/>
      <x:c r="D234" s="6"/>
      <x:c r="E234" s="6"/>
      <x:c r="F234" s="6"/>
      <x:c r="G234" s="6"/>
      <x:c r="H234" s="6"/>
      <x:c r="I234" s="6"/>
      <x:c r="J234" s="6"/>
      <x:c r="K234" s="6"/>
      <x:c r="L234" s="6"/>
      <x:c r="M234" s="6"/>
      <x:c r="N234" s="6"/>
      <x:c r="O234" s="6"/>
      <x:c r="P234" s="6"/>
      <x:c r="Q234" s="6"/>
    </x:row>
    <x:row r="235" ht="19" customHeight="1">
      <x:c r="A235" s="6"/>
      <x:c r="B235" s="6"/>
      <x:c r="C235" s="6"/>
      <x:c r="D235" s="6"/>
      <x:c r="E235" s="6"/>
      <x:c r="F235" s="6"/>
      <x:c r="G235" s="6"/>
      <x:c r="H235" s="6"/>
      <x:c r="I235" s="6"/>
      <x:c r="J235" s="6"/>
      <x:c r="K235" s="6"/>
      <x:c r="L235" s="6"/>
      <x:c r="M235" s="6"/>
      <x:c r="N235" s="6"/>
      <x:c r="O235" s="6"/>
      <x:c r="P235" s="6"/>
      <x:c r="Q235" s="6"/>
    </x:row>
    <x:row r="236" ht="19" customHeight="1">
      <x:c r="A236" s="6"/>
      <x:c r="B236" s="6"/>
      <x:c r="C236" s="6"/>
      <x:c r="D236" s="6"/>
      <x:c r="E236" s="6"/>
      <x:c r="F236" s="6"/>
      <x:c r="G236" s="6"/>
      <x:c r="H236" s="6"/>
      <x:c r="I236" s="6"/>
      <x:c r="J236" s="6"/>
      <x:c r="K236" s="6"/>
      <x:c r="L236" s="6"/>
      <x:c r="M236" s="6"/>
      <x:c r="N236" s="6"/>
      <x:c r="O236" s="6"/>
      <x:c r="P236" s="6"/>
      <x:c r="Q236" s="6"/>
    </x:row>
    <x:row r="237" ht="19" customHeight="1">
      <x:c r="A237" s="6"/>
      <x:c r="B237" s="6"/>
      <x:c r="C237" s="6"/>
      <x:c r="D237" s="6"/>
      <x:c r="E237" s="6"/>
      <x:c r="F237" s="6"/>
      <x:c r="G237" s="6"/>
      <x:c r="H237" s="6"/>
      <x:c r="I237" s="6"/>
      <x:c r="J237" s="6"/>
      <x:c r="K237" s="6"/>
      <x:c r="L237" s="6"/>
      <x:c r="M237" s="6"/>
      <x:c r="N237" s="6"/>
      <x:c r="O237" s="6"/>
      <x:c r="P237" s="6"/>
      <x:c r="Q237" s="6"/>
    </x:row>
    <x:row r="238" ht="19" customHeight="1">
      <x:c r="A238" s="6"/>
      <x:c r="B238" s="6"/>
      <x:c r="C238" s="6"/>
      <x:c r="D238" s="6"/>
      <x:c r="E238" s="6"/>
      <x:c r="F238" s="6"/>
      <x:c r="G238" s="6"/>
      <x:c r="H238" s="6"/>
      <x:c r="I238" s="6"/>
      <x:c r="J238" s="6"/>
      <x:c r="K238" s="6"/>
      <x:c r="L238" s="6"/>
      <x:c r="M238" s="6"/>
      <x:c r="N238" s="6"/>
      <x:c r="O238" s="6"/>
      <x:c r="P238" s="6"/>
      <x:c r="Q238" s="6"/>
    </x:row>
    <x:row r="239" ht="19" customHeight="1">
      <x:c r="A239" s="6"/>
      <x:c r="B239" s="6"/>
      <x:c r="C239" s="6"/>
      <x:c r="D239" s="6"/>
      <x:c r="E239" s="6"/>
      <x:c r="F239" s="6"/>
      <x:c r="G239" s="6"/>
      <x:c r="H239" s="6"/>
      <x:c r="I239" s="6"/>
      <x:c r="J239" s="6"/>
      <x:c r="K239" s="6"/>
      <x:c r="L239" s="6"/>
      <x:c r="M239" s="6"/>
      <x:c r="N239" s="6"/>
      <x:c r="O239" s="6"/>
      <x:c r="P239" s="6"/>
      <x:c r="Q239" s="6"/>
    </x:row>
    <x:row r="240" ht="19" customHeight="1">
      <x:c r="A240" s="6"/>
      <x:c r="B240" s="6"/>
      <x:c r="C240" s="6"/>
      <x:c r="D240" s="6"/>
      <x:c r="E240" s="6"/>
      <x:c r="F240" s="6"/>
      <x:c r="G240" s="6"/>
      <x:c r="H240" s="6"/>
      <x:c r="I240" s="6"/>
      <x:c r="J240" s="6"/>
      <x:c r="K240" s="6"/>
      <x:c r="L240" s="6"/>
      <x:c r="M240" s="6"/>
      <x:c r="N240" s="6"/>
      <x:c r="O240" s="6"/>
      <x:c r="P240" s="6"/>
      <x:c r="Q240" s="6"/>
    </x:row>
    <x:row r="241" ht="19" customHeight="1">
      <x:c r="A241" s="6"/>
      <x:c r="B241" s="6"/>
      <x:c r="C241" s="6"/>
      <x:c r="D241" s="6"/>
      <x:c r="E241" s="6"/>
      <x:c r="F241" s="6"/>
      <x:c r="G241" s="6"/>
      <x:c r="H241" s="6"/>
      <x:c r="I241" s="6"/>
      <x:c r="J241" s="6"/>
      <x:c r="K241" s="6"/>
      <x:c r="L241" s="6"/>
      <x:c r="M241" s="6"/>
      <x:c r="N241" s="6"/>
      <x:c r="O241" s="6"/>
      <x:c r="P241" s="6"/>
      <x:c r="Q241" s="6"/>
    </x:row>
    <x:row r="242" ht="19" customHeight="1">
      <x:c r="A242" s="6"/>
      <x:c r="B242" s="6"/>
      <x:c r="C242" s="6"/>
      <x:c r="D242" s="6"/>
      <x:c r="E242" s="6"/>
      <x:c r="F242" s="6"/>
      <x:c r="G242" s="6"/>
      <x:c r="H242" s="6"/>
      <x:c r="I242" s="6"/>
      <x:c r="J242" s="6"/>
      <x:c r="K242" s="6"/>
      <x:c r="L242" s="6"/>
      <x:c r="M242" s="6"/>
      <x:c r="N242" s="6"/>
      <x:c r="O242" s="6"/>
      <x:c r="P242" s="6"/>
      <x:c r="Q242" s="6"/>
    </x:row>
    <x:row r="243" ht="19" customHeight="1">
      <x:c r="A243" s="6"/>
      <x:c r="B243" s="6"/>
      <x:c r="C243" s="6"/>
      <x:c r="D243" s="6"/>
      <x:c r="E243" s="6"/>
      <x:c r="F243" s="6"/>
      <x:c r="G243" s="6"/>
      <x:c r="H243" s="6"/>
      <x:c r="I243" s="6"/>
      <x:c r="J243" s="6"/>
      <x:c r="K243" s="6"/>
      <x:c r="L243" s="6"/>
      <x:c r="M243" s="6"/>
      <x:c r="N243" s="6"/>
      <x:c r="O243" s="6"/>
      <x:c r="P243" s="6"/>
      <x:c r="Q243" s="6"/>
    </x:row>
    <x:row r="244" ht="19" customHeight="1">
      <x:c r="A244" s="6"/>
      <x:c r="B244" s="6"/>
      <x:c r="C244" s="6"/>
      <x:c r="D244" s="6"/>
      <x:c r="E244" s="6"/>
      <x:c r="F244" s="6"/>
      <x:c r="G244" s="6"/>
      <x:c r="H244" s="6"/>
      <x:c r="I244" s="6"/>
      <x:c r="J244" s="6"/>
      <x:c r="K244" s="6"/>
      <x:c r="L244" s="6"/>
      <x:c r="M244" s="6"/>
      <x:c r="N244" s="6"/>
      <x:c r="O244" s="6"/>
      <x:c r="P244" s="6"/>
      <x:c r="Q244" s="6"/>
    </x:row>
    <x:row r="245" ht="19" customHeight="1">
      <x:c r="A245" s="6"/>
      <x:c r="B245" s="6"/>
      <x:c r="C245" s="6"/>
      <x:c r="D245" s="6"/>
      <x:c r="E245" s="6"/>
      <x:c r="F245" s="6"/>
      <x:c r="G245" s="6"/>
      <x:c r="H245" s="6"/>
      <x:c r="I245" s="6"/>
      <x:c r="J245" s="6"/>
      <x:c r="K245" s="6"/>
      <x:c r="L245" s="6"/>
      <x:c r="M245" s="6"/>
      <x:c r="N245" s="6"/>
      <x:c r="O245" s="6"/>
      <x:c r="P245" s="6"/>
      <x:c r="Q245" s="6"/>
    </x:row>
    <x:row r="246" ht="19" customHeight="1">
      <x:c r="A246" s="6"/>
      <x:c r="B246" s="6"/>
      <x:c r="C246" s="6"/>
      <x:c r="D246" s="6"/>
      <x:c r="E246" s="6"/>
      <x:c r="F246" s="6"/>
      <x:c r="G246" s="6"/>
      <x:c r="H246" s="6"/>
      <x:c r="I246" s="6"/>
      <x:c r="J246" s="6"/>
      <x:c r="K246" s="6"/>
      <x:c r="L246" s="6"/>
      <x:c r="M246" s="6"/>
      <x:c r="N246" s="6"/>
      <x:c r="O246" s="6"/>
      <x:c r="P246" s="6"/>
      <x:c r="Q246" s="6"/>
    </x:row>
    <x:row r="247" ht="19" customHeight="1">
      <x:c r="A247" s="6"/>
      <x:c r="B247" s="6"/>
      <x:c r="C247" s="6"/>
      <x:c r="D247" s="6"/>
      <x:c r="E247" s="6"/>
      <x:c r="F247" s="6"/>
      <x:c r="G247" s="6"/>
      <x:c r="H247" s="6"/>
      <x:c r="I247" s="6"/>
      <x:c r="J247" s="6"/>
      <x:c r="K247" s="6"/>
      <x:c r="L247" s="6"/>
      <x:c r="M247" s="6"/>
      <x:c r="N247" s="6"/>
      <x:c r="O247" s="6"/>
      <x:c r="P247" s="6"/>
      <x:c r="Q247" s="6"/>
    </x:row>
    <x:row r="248" ht="19" customHeight="1">
      <x:c r="A248" s="6"/>
      <x:c r="B248" s="6"/>
      <x:c r="C248" s="6"/>
      <x:c r="D248" s="6"/>
      <x:c r="E248" s="6"/>
      <x:c r="F248" s="6"/>
      <x:c r="G248" s="6"/>
      <x:c r="H248" s="6"/>
      <x:c r="I248" s="6"/>
      <x:c r="J248" s="6"/>
      <x:c r="K248" s="6"/>
      <x:c r="L248" s="6"/>
      <x:c r="M248" s="6"/>
      <x:c r="N248" s="6"/>
      <x:c r="O248" s="6"/>
      <x:c r="P248" s="6"/>
      <x:c r="Q248" s="6"/>
    </x:row>
    <x:row r="249" ht="19" customHeight="1">
      <x:c r="A249" s="6"/>
      <x:c r="B249" s="6"/>
      <x:c r="C249" s="6"/>
      <x:c r="D249" s="6"/>
      <x:c r="E249" s="6"/>
      <x:c r="F249" s="6"/>
      <x:c r="G249" s="6"/>
      <x:c r="H249" s="6"/>
      <x:c r="I249" s="6"/>
      <x:c r="J249" s="6"/>
      <x:c r="K249" s="6"/>
      <x:c r="L249" s="6"/>
      <x:c r="M249" s="6"/>
      <x:c r="N249" s="6"/>
      <x:c r="O249" s="6"/>
      <x:c r="P249" s="6"/>
      <x:c r="Q249" s="6"/>
    </x:row>
    <x:row r="250" ht="19" customHeight="1">
      <x:c r="A250" s="6"/>
      <x:c r="B250" s="6"/>
      <x:c r="C250" s="6"/>
      <x:c r="D250" s="6"/>
      <x:c r="E250" s="6"/>
      <x:c r="F250" s="6"/>
      <x:c r="G250" s="6"/>
      <x:c r="H250" s="6"/>
      <x:c r="I250" s="6"/>
      <x:c r="J250" s="6"/>
      <x:c r="K250" s="6"/>
      <x:c r="L250" s="6"/>
      <x:c r="M250" s="6"/>
      <x:c r="N250" s="6"/>
      <x:c r="O250" s="6"/>
      <x:c r="P250" s="6"/>
      <x:c r="Q250" s="6"/>
    </x:row>
    <x:row r="251" ht="19" customHeight="1">
      <x:c r="A251" s="6"/>
      <x:c r="B251" s="6"/>
      <x:c r="C251" s="6"/>
      <x:c r="D251" s="6"/>
      <x:c r="E251" s="6"/>
      <x:c r="F251" s="6"/>
      <x:c r="G251" s="6"/>
      <x:c r="H251" s="6"/>
      <x:c r="I251" s="6"/>
      <x:c r="J251" s="6"/>
      <x:c r="K251" s="6"/>
      <x:c r="L251" s="6"/>
      <x:c r="M251" s="6"/>
      <x:c r="N251" s="6"/>
      <x:c r="O251" s="6"/>
      <x:c r="P251" s="6"/>
      <x:c r="Q251" s="6"/>
    </x:row>
    <x:row r="252" ht="19" customHeight="1">
      <x:c r="A252" s="6"/>
      <x:c r="B252" s="6"/>
      <x:c r="C252" s="6"/>
      <x:c r="D252" s="6"/>
      <x:c r="E252" s="6"/>
      <x:c r="F252" s="6"/>
      <x:c r="G252" s="6"/>
      <x:c r="H252" s="6"/>
      <x:c r="I252" s="6"/>
      <x:c r="J252" s="6"/>
      <x:c r="K252" s="6"/>
      <x:c r="L252" s="6"/>
      <x:c r="M252" s="6"/>
      <x:c r="N252" s="6"/>
      <x:c r="O252" s="6"/>
      <x:c r="P252" s="6"/>
      <x:c r="Q252" s="6"/>
    </x:row>
    <x:row r="253" ht="19" customHeight="1">
      <x:c r="A253" s="6"/>
      <x:c r="B253" s="6"/>
      <x:c r="C253" s="6"/>
      <x:c r="D253" s="6"/>
      <x:c r="E253" s="6"/>
      <x:c r="F253" s="6"/>
      <x:c r="G253" s="6"/>
      <x:c r="H253" s="6"/>
      <x:c r="I253" s="6"/>
      <x:c r="J253" s="6"/>
      <x:c r="K253" s="6"/>
      <x:c r="L253" s="6"/>
      <x:c r="M253" s="6"/>
      <x:c r="N253" s="6"/>
      <x:c r="O253" s="6"/>
      <x:c r="P253" s="6"/>
      <x:c r="Q253" s="6"/>
    </x:row>
    <x:row r="254" ht="19" customHeight="1">
      <x:c r="A254" s="6"/>
      <x:c r="B254" s="6"/>
      <x:c r="C254" s="6"/>
      <x:c r="D254" s="6"/>
      <x:c r="E254" s="6"/>
      <x:c r="F254" s="6"/>
      <x:c r="G254" s="6"/>
      <x:c r="H254" s="6"/>
      <x:c r="I254" s="6"/>
      <x:c r="J254" s="6"/>
      <x:c r="K254" s="6"/>
      <x:c r="L254" s="6"/>
      <x:c r="M254" s="6"/>
      <x:c r="N254" s="6"/>
      <x:c r="O254" s="6"/>
      <x:c r="P254" s="6"/>
      <x:c r="Q254" s="6"/>
    </x:row>
    <x:row r="255" ht="19" customHeight="1">
      <x:c r="A255" s="6"/>
      <x:c r="B255" s="6"/>
      <x:c r="C255" s="6"/>
      <x:c r="D255" s="6"/>
      <x:c r="E255" s="6"/>
      <x:c r="F255" s="6"/>
      <x:c r="G255" s="6"/>
      <x:c r="H255" s="6"/>
      <x:c r="I255" s="6"/>
      <x:c r="J255" s="6"/>
      <x:c r="K255" s="6"/>
      <x:c r="L255" s="6"/>
      <x:c r="M255" s="6"/>
      <x:c r="N255" s="6"/>
      <x:c r="O255" s="6"/>
      <x:c r="P255" s="6"/>
      <x:c r="Q255" s="6"/>
    </x:row>
    <x:row r="256" ht="19" customHeight="1">
      <x:c r="A256" s="6"/>
      <x:c r="B256" s="6"/>
      <x:c r="C256" s="6"/>
      <x:c r="D256" s="6"/>
      <x:c r="E256" s="6"/>
      <x:c r="F256" s="6"/>
      <x:c r="G256" s="6"/>
      <x:c r="H256" s="6"/>
      <x:c r="I256" s="6"/>
      <x:c r="J256" s="6"/>
      <x:c r="K256" s="6"/>
      <x:c r="L256" s="6"/>
      <x:c r="M256" s="6"/>
      <x:c r="N256" s="6"/>
      <x:c r="O256" s="6"/>
      <x:c r="P256" s="6"/>
      <x:c r="Q256" s="6"/>
    </x:row>
    <x:row r="257" ht="19" customHeight="1">
      <x:c r="A257" s="6"/>
      <x:c r="B257" s="6"/>
      <x:c r="C257" s="6"/>
      <x:c r="D257" s="6"/>
      <x:c r="E257" s="6"/>
      <x:c r="F257" s="6"/>
      <x:c r="G257" s="6"/>
      <x:c r="H257" s="6"/>
      <x:c r="I257" s="6"/>
      <x:c r="J257" s="6"/>
      <x:c r="K257" s="6"/>
      <x:c r="L257" s="6"/>
      <x:c r="M257" s="6"/>
      <x:c r="N257" s="6"/>
      <x:c r="O257" s="6"/>
      <x:c r="P257" s="6"/>
      <x:c r="Q257" s="6"/>
    </x:row>
    <x:row r="258" ht="19" customHeight="1">
      <x:c r="A258" s="6"/>
      <x:c r="B258" s="6"/>
      <x:c r="C258" s="6"/>
      <x:c r="D258" s="6"/>
      <x:c r="E258" s="6"/>
      <x:c r="F258" s="6"/>
      <x:c r="G258" s="6"/>
      <x:c r="H258" s="6"/>
      <x:c r="I258" s="6"/>
      <x:c r="J258" s="6"/>
      <x:c r="K258" s="6"/>
      <x:c r="L258" s="6"/>
      <x:c r="M258" s="6"/>
      <x:c r="N258" s="6"/>
      <x:c r="O258" s="6"/>
      <x:c r="P258" s="6"/>
      <x:c r="Q258" s="6"/>
    </x:row>
    <x:row r="259" ht="19" customHeight="1">
      <x:c r="A259" s="6"/>
      <x:c r="B259" s="6"/>
      <x:c r="C259" s="6"/>
      <x:c r="D259" s="6"/>
      <x:c r="E259" s="6"/>
      <x:c r="F259" s="6"/>
      <x:c r="G259" s="6"/>
      <x:c r="H259" s="6"/>
      <x:c r="I259" s="6"/>
      <x:c r="J259" s="6"/>
      <x:c r="K259" s="6"/>
      <x:c r="L259" s="6"/>
      <x:c r="M259" s="6"/>
      <x:c r="N259" s="6"/>
      <x:c r="O259" s="6"/>
      <x:c r="P259" s="6"/>
      <x:c r="Q259" s="6"/>
    </x:row>
    <x:row r="260" ht="19" customHeight="1">
      <x:c r="A260" s="6"/>
      <x:c r="B260" s="6"/>
      <x:c r="C260" s="6"/>
      <x:c r="D260" s="6"/>
      <x:c r="E260" s="6"/>
      <x:c r="F260" s="6"/>
      <x:c r="G260" s="6"/>
      <x:c r="H260" s="6"/>
      <x:c r="I260" s="6"/>
      <x:c r="J260" s="6"/>
      <x:c r="K260" s="6"/>
      <x:c r="L260" s="6"/>
      <x:c r="M260" s="6"/>
      <x:c r="N260" s="6"/>
      <x:c r="O260" s="6"/>
      <x:c r="P260" s="6"/>
      <x:c r="Q260" s="6"/>
    </x:row>
  </x:sheetData>
  <x:mergeCells>
    <x:mergeCell ref="A1:F2"/>
    <x:mergeCell ref="A3:F3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9" hidden="0" customWidth="1"/>
    <x:col min="3" max="3" width="15" hidden="0" customWidth="1"/>
    <x:col min="4" max="4" width="19" hidden="0" customWidth="1"/>
    <x:col min="5" max="5" width="15" hidden="0" customWidth="1"/>
    <x:col min="6" max="6" width="5" hidden="0" customWidth="1"/>
    <x:col min="7" max="7" width="16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 ht="24" customHeight="1">
      <x:c r="A1" s="10" t="str">
        <x:v>Фаза 1 | Выбор концепции проекта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6"/>
      <x:c r="N1" s="6"/>
      <x:c r="O1" s="6"/>
      <x:c r="P1" s="6"/>
      <x:c r="Q1" s="6"/>
    </x:row>
    <x:row r="2" ht="24" customHeight="1">
      <x:c r="A2" s="10"/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6"/>
      <x:c r="N2" s="6"/>
      <x:c r="O2" s="6"/>
      <x:c r="P2" s="6"/>
      <x:c r="Q2" s="6"/>
    </x:row>
    <x:row r="3" ht="19" customHeight="1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</x:row>
    <x:row r="4" ht="30" customHeight="1">
      <x:c r="A4" s="56" t="str">
        <x:v>УЧЕБНЫЙ ПРИМЕР: сведения об экспертных суждениях и трудозатратах нужно утвердить с командой перед сдачей.</x:v>
      </x:c>
      <x:c r="B4" s="56"/>
      <x:c r="C4" s="56"/>
      <x:c r="D4" s="56"/>
      <x:c r="E4" s="56"/>
      <x:c r="F4" s="56"/>
      <x:c r="G4" s="56"/>
      <x:c r="H4" s="56"/>
      <x:c r="I4" s="56"/>
      <x:c r="J4" s="56"/>
      <x:c r="K4" s="56"/>
      <x:c r="L4" s="56"/>
      <x:c r="M4" s="6"/>
      <x:c r="N4" s="6"/>
      <x:c r="O4" s="6"/>
      <x:c r="P4" s="6"/>
      <x:c r="Q4" s="6"/>
    </x:row>
    <x:row r="5" ht="19" customHeight="1">
      <x:c r="A5" s="6"/>
      <x:c r="B5" s="6"/>
      <x:c r="C5" s="6"/>
      <x:c r="D5" s="6"/>
      <x:c r="E5" s="6"/>
      <x:c r="F5" s="6"/>
      <x:c r="G5" s="6"/>
      <x:c r="H5" s="6"/>
      <x:c r="I5" s="6"/>
      <x:c r="J5" s="6"/>
      <x:c r="K5" s="6"/>
      <x:c r="L5" s="6"/>
      <x:c r="M5" s="6"/>
      <x:c r="N5" s="6"/>
      <x:c r="O5" s="6"/>
      <x:c r="P5" s="6"/>
      <x:c r="Q5" s="6"/>
    </x:row>
    <x:row r="6" ht="26" customHeight="1">
      <x:c r="A6" s="25" t="str">
        <x:v>Исходные ограничения</x:v>
      </x:c>
      <x:c r="B6" s="25"/>
      <x:c r="C6" s="25"/>
      <x:c r="D6" s="25"/>
      <x:c r="E6" s="25"/>
      <x:c r="F6" s="6"/>
      <x:c r="G6" s="6"/>
      <x:c r="H6" s="6"/>
      <x:c r="I6" s="6"/>
      <x:c r="J6" s="6"/>
      <x:c r="K6" s="6"/>
      <x:c r="L6" s="6"/>
      <x:c r="M6" s="6"/>
      <x:c r="N6" s="6"/>
      <x:c r="O6" s="6"/>
      <x:c r="P6" s="6"/>
      <x:c r="Q6" s="6"/>
    </x:row>
    <x:row r="7" ht="19" customHeight="1">
      <x:c r="A7" s="6" t="str">
        <x:v>Участников</x:v>
      </x:c>
      <x:c r="B7" s="6" t="str">
        <x:v>3</x:v>
      </x:c>
      <x:c r="C7" s="6"/>
      <x:c r="D7" s="6"/>
      <x:c r="E7" s="6"/>
      <x:c r="F7" s="6"/>
      <x:c r="G7" s="6"/>
      <x:c r="H7" s="6"/>
      <x:c r="I7" s="6"/>
      <x:c r="J7" s="6"/>
      <x:c r="K7" s="6"/>
      <x:c r="L7" s="6"/>
      <x:c r="M7" s="6"/>
      <x:c r="N7" s="6"/>
      <x:c r="O7" s="6"/>
      <x:c r="P7" s="6"/>
      <x:c r="Q7" s="6"/>
    </x:row>
    <x:row r="8" ht="19" customHeight="1">
      <x:c r="A8" s="6" t="str">
        <x:v>Концепций</x:v>
      </x:c>
      <x:c r="B8" s="6" t="str">
        <x:v>4</x:v>
      </x:c>
      <x:c r="C8" s="6"/>
      <x:c r="D8" s="6"/>
      <x:c r="E8" s="6"/>
      <x:c r="F8" s="6"/>
      <x:c r="G8" s="6"/>
      <x:c r="H8" s="6"/>
      <x:c r="I8" s="6"/>
      <x:c r="J8" s="6"/>
      <x:c r="K8" s="6"/>
      <x:c r="L8" s="6"/>
      <x:c r="M8" s="6"/>
      <x:c r="N8" s="6"/>
      <x:c r="O8" s="6"/>
      <x:c r="P8" s="6"/>
      <x:c r="Q8" s="6"/>
    </x:row>
    <x:row r="9" ht="19" customHeight="1">
      <x:c r="A9" s="6" t="str">
        <x:v>Use Cases для каждой</x:v>
      </x:c>
      <x:c r="B9" s="6" t="str">
        <x:v>12</x:v>
      </x:c>
      <x:c r="C9" s="6"/>
      <x:c r="D9" s="6"/>
      <x:c r="E9" s="6"/>
      <x:c r="F9" s="6"/>
      <x:c r="G9" s="6"/>
      <x:c r="H9" s="6"/>
      <x:c r="I9" s="6"/>
      <x:c r="J9" s="6"/>
      <x:c r="K9" s="6"/>
      <x:c r="L9" s="6"/>
      <x:c r="M9" s="6"/>
      <x:c r="N9" s="6"/>
      <x:c r="O9" s="6"/>
      <x:c r="P9" s="6"/>
      <x:c r="Q9" s="6"/>
    </x:row>
    <x:row r="10" ht="19" customHeight="1">
      <x:c r="A10" s="6" t="str">
        <x:v>Критериев</x:v>
      </x:c>
      <x:c r="B10" s="6" t="str">
        <x:v>5</x:v>
      </x:c>
      <x:c r="C10" s="6"/>
      <x:c r="D10" s="6"/>
      <x:c r="E10" s="6"/>
      <x:c r="F10" s="6"/>
      <x:c r="G10" s="6"/>
      <x:c r="H10" s="6"/>
      <x:c r="I10" s="6"/>
      <x:c r="J10" s="6"/>
      <x:c r="K10" s="6"/>
      <x:c r="L10" s="6"/>
      <x:c r="M10" s="6"/>
      <x:c r="N10" s="6"/>
      <x:c r="O10" s="6"/>
      <x:c r="P10" s="6"/>
      <x:c r="Q10" s="6"/>
    </x:row>
    <x:row r="11" ht="26" customHeight="1">
      <x:c r="A11" s="25" t="str">
        <x:v>Итоги ранжирования</x:v>
      </x:c>
      <x:c r="B11" s="25"/>
      <x:c r="C11" s="25"/>
      <x:c r="D11" s="25"/>
      <x:c r="E11" s="25"/>
      <x:c r="F11" s="6"/>
      <x:c r="G11" s="6"/>
      <x:c r="H11" s="6"/>
      <x:c r="I11" s="6"/>
      <x:c r="J11" s="6"/>
      <x:c r="K11" s="6"/>
      <x:c r="L11" s="6"/>
      <x:c r="M11" s="6"/>
      <x:c r="N11" s="6"/>
      <x:c r="O11" s="6"/>
      <x:c r="P11" s="6"/>
      <x:c r="Q11" s="6"/>
    </x:row>
    <x:row r="12" ht="30" customHeight="1">
      <x:c r="A12" s="17" t="str">
        <x:v>Концепция</x:v>
      </x:c>
      <x:c r="B12" s="17" t="str">
        <x:v>TOPSIS: CC</x:v>
      </x:c>
      <x:c r="C12" s="17" t="str">
        <x:v>Место</x:v>
      </x:c>
      <x:c r="D12" s="17" t="str">
        <x:v>МАИ: вес</x:v>
      </x:c>
      <x:c r="E12" s="17" t="str">
        <x:v>Место</x:v>
      </x:c>
      <x:c r="F12" s="6"/>
      <x:c r="G12" s="6"/>
      <x:c r="H12" s="6"/>
      <x:c r="I12" s="6"/>
      <x:c r="J12" s="6"/>
      <x:c r="K12" s="6"/>
      <x:c r="L12" s="6"/>
      <x:c r="M12" s="6"/>
      <x:c r="N12" s="6"/>
      <x:c r="O12" s="6"/>
      <x:c r="P12" s="6"/>
      <x:c r="Q12" s="6"/>
    </x:row>
    <x:row r="13" ht="19" customHeight="1">
      <x:c r="A13" s="6" t="str">
        <x:v>StudyFlow</x:v>
      </x:c>
      <x:c r="B13" s="34" t="n">
        <x:f>'TOPSIS'!E45</x:f>
        <x:v>0.5873109705698053</x:v>
      </x:c>
      <x:c r="C13" s="6" t="n">
        <x:f>'TOPSIS'!F45</x:f>
        <x:v>2</x:v>
      </x:c>
      <x:c r="D13" s="34" t="n">
        <x:f>'МАИ итог'!H13</x:f>
        <x:v>0.2827685355743161</x:v>
      </x:c>
      <x:c r="E13" s="6" t="n">
        <x:f>'МАИ итог'!I13</x:f>
        <x:v>2</x:v>
      </x:c>
      <x:c r="F13" s="6"/>
      <x:c r="G13" s="6"/>
      <x:c r="H13" s="6"/>
      <x:c r="I13" s="6"/>
      <x:c r="J13" s="6"/>
      <x:c r="K13" s="6"/>
      <x:c r="L13" s="6"/>
      <x:c r="M13" s="6"/>
      <x:c r="N13" s="6"/>
      <x:c r="O13" s="6"/>
      <x:c r="P13" s="6"/>
      <x:c r="Q13" s="6"/>
    </x:row>
    <x:row r="14" ht="19" customHeight="1">
      <x:c r="A14" s="24" t="str">
        <x:v>CampusEvents</x:v>
      </x:c>
      <x:c r="B14" s="36" t="n">
        <x:f>'TOPSIS'!E46</x:f>
        <x:v>0.7040747247273021</x:v>
      </x:c>
      <x:c r="C14" s="24" t="n">
        <x:f>'TOPSIS'!F46</x:f>
        <x:v>1</x:v>
      </x:c>
      <x:c r="D14" s="36" t="n">
        <x:f>'МАИ итог'!H14</x:f>
        <x:v>0.3312761619110167</x:v>
      </x:c>
      <x:c r="E14" s="24" t="n">
        <x:f>'МАИ итог'!I14</x:f>
        <x:v>1</x:v>
      </x:c>
      <x:c r="F14" s="6"/>
      <x:c r="G14" s="6"/>
      <x:c r="H14" s="6"/>
      <x:c r="I14" s="6"/>
      <x:c r="J14" s="6"/>
      <x:c r="K14" s="6"/>
      <x:c r="L14" s="6"/>
      <x:c r="M14" s="6"/>
      <x:c r="N14" s="6"/>
      <x:c r="O14" s="6"/>
      <x:c r="P14" s="6"/>
      <x:c r="Q14" s="6"/>
    </x:row>
    <x:row r="15" ht="19" customHeight="1">
      <x:c r="A15" s="6" t="str">
        <x:v>BookSwap</x:v>
      </x:c>
      <x:c r="B15" s="34" t="n">
        <x:f>'TOPSIS'!E47</x:f>
        <x:v>0.5578356777461733</x:v>
      </x:c>
      <x:c r="C15" s="6" t="n">
        <x:f>'TOPSIS'!F47</x:f>
        <x:v>3</x:v>
      </x:c>
      <x:c r="D15" s="34" t="n">
        <x:f>'МАИ итог'!H15</x:f>
        <x:v>0.22131153287406863</x:v>
      </x:c>
      <x:c r="E15" s="6" t="n">
        <x:f>'МАИ итог'!I15</x:f>
        <x:v>3</x:v>
      </x:c>
      <x:c r="F15" s="6"/>
      <x:c r="G15" s="6"/>
      <x:c r="H15" s="6"/>
      <x:c r="I15" s="6"/>
      <x:c r="J15" s="6"/>
      <x:c r="K15" s="6"/>
      <x:c r="L15" s="6"/>
      <x:c r="M15" s="6"/>
      <x:c r="N15" s="6"/>
      <x:c r="O15" s="6"/>
      <x:c r="P15" s="6"/>
      <x:c r="Q15" s="6"/>
    </x:row>
    <x:row r="16" ht="19" customHeight="1">
      <x:c r="A16" s="6" t="str">
        <x:v>SkillBridge</x:v>
      </x:c>
      <x:c r="B16" s="34" t="n">
        <x:f>'TOPSIS'!E48</x:f>
        <x:v>0.4505495024948932</x:v>
      </x:c>
      <x:c r="C16" s="6" t="n">
        <x:f>'TOPSIS'!F48</x:f>
        <x:v>4</x:v>
      </x:c>
      <x:c r="D16" s="34" t="n">
        <x:f>'МАИ итог'!H16</x:f>
        <x:v>0.16464376964059843</x:v>
      </x:c>
      <x:c r="E16" s="6" t="n">
        <x:f>'МАИ итог'!I16</x:f>
        <x:v>4</x:v>
      </x:c>
      <x:c r="F16" s="6"/>
      <x:c r="G16" s="6"/>
      <x:c r="H16" s="6"/>
      <x:c r="I16" s="6"/>
      <x:c r="J16" s="6"/>
      <x:c r="K16" s="6"/>
      <x:c r="L16" s="6"/>
      <x:c r="M16" s="6"/>
      <x:c r="N16" s="6"/>
      <x:c r="O16" s="6"/>
      <x:c r="P16" s="6"/>
      <x:c r="Q16" s="6"/>
    </x:row>
    <x:row r="17" ht="19" customHeight="1">
      <x:c r="A17" s="6"/>
      <x:c r="B17" s="6"/>
      <x:c r="C17" s="6"/>
      <x:c r="D17" s="6"/>
      <x:c r="E17" s="6"/>
      <x:c r="F17" s="6"/>
      <x:c r="G17" s="6"/>
      <x:c r="H17" s="6"/>
      <x:c r="I17" s="6"/>
      <x:c r="J17" s="6"/>
      <x:c r="K17" s="6"/>
      <x:c r="L17" s="6"/>
      <x:c r="M17" s="6"/>
      <x:c r="N17" s="6"/>
      <x:c r="O17" s="6"/>
      <x:c r="P17" s="6"/>
      <x:c r="Q17" s="6"/>
    </x:row>
    <x:row r="18" ht="19" customHeight="1">
      <x:c r="A18" s="6"/>
      <x:c r="B18" s="6"/>
      <x:c r="C18" s="6"/>
      <x:c r="D18" s="6"/>
      <x:c r="E18" s="6"/>
      <x:c r="F18" s="6"/>
      <x:c r="G18" s="6"/>
      <x:c r="H18" s="6"/>
      <x:c r="I18" s="6"/>
      <x:c r="J18" s="6"/>
      <x:c r="K18" s="6"/>
      <x:c r="L18" s="6"/>
      <x:c r="M18" s="6"/>
      <x:c r="N18" s="6"/>
      <x:c r="O18" s="6"/>
      <x:c r="P18" s="6"/>
      <x:c r="Q18" s="6"/>
    </x:row>
    <x:row r="19" ht="26" customHeight="1">
      <x:c r="A19" s="25" t="str">
        <x:v>Плановая трудоёмкость фазы</x:v>
      </x:c>
      <x:c r="B19" s="25"/>
      <x:c r="C19" s="25"/>
      <x:c r="D19" s="25"/>
      <x:c r="E19" s="25"/>
      <x:c r="F19" s="6"/>
      <x:c r="G19" s="6"/>
      <x:c r="H19" s="6"/>
      <x:c r="I19" s="6"/>
      <x:c r="J19" s="6"/>
      <x:c r="K19" s="6"/>
      <x:c r="L19" s="6"/>
      <x:c r="M19" s="6"/>
      <x:c r="N19" s="6"/>
      <x:c r="O19" s="6"/>
      <x:c r="P19" s="6"/>
      <x:c r="Q19" s="6"/>
    </x:row>
    <x:row r="20" ht="19" customHeight="1">
      <x:c r="A20" s="6" t="str">
        <x:v>Участник 1</x:v>
      </x:c>
      <x:c r="B20" s="46" t="n">
        <x:f>'Задачи'!E20</x:f>
        <x:v>9.700000000000003</x:v>
      </x:c>
      <x:c r="C20" s="6"/>
      <x:c r="D20" s="6"/>
      <x:c r="E20" s="6"/>
      <x:c r="F20" s="6"/>
      <x:c r="G20" s="6"/>
      <x:c r="H20" s="6"/>
      <x:c r="I20" s="6"/>
      <x:c r="J20" s="6"/>
      <x:c r="K20" s="6"/>
      <x:c r="L20" s="6"/>
      <x:c r="M20" s="6"/>
      <x:c r="N20" s="6"/>
      <x:c r="O20" s="6"/>
      <x:c r="P20" s="6"/>
      <x:c r="Q20" s="6"/>
    </x:row>
    <x:row r="21" ht="19" customHeight="1">
      <x:c r="A21" s="6" t="str">
        <x:v>Участник 2</x:v>
      </x:c>
      <x:c r="B21" s="46" t="n">
        <x:f>'Задачи'!F20</x:f>
        <x:v>9.6</x:v>
      </x:c>
      <x:c r="C21" s="6"/>
      <x:c r="D21" s="6"/>
      <x:c r="E21" s="6"/>
      <x:c r="F21" s="6"/>
      <x:c r="G21" s="6"/>
      <x:c r="H21" s="6"/>
      <x:c r="I21" s="6"/>
      <x:c r="J21" s="6"/>
      <x:c r="K21" s="6"/>
      <x:c r="L21" s="6"/>
      <x:c r="M21" s="6"/>
      <x:c r="N21" s="6"/>
      <x:c r="O21" s="6"/>
      <x:c r="P21" s="6"/>
      <x:c r="Q21" s="6"/>
    </x:row>
    <x:row r="22" ht="19" customHeight="1">
      <x:c r="A22" s="6" t="str">
        <x:v>Участник 3</x:v>
      </x:c>
      <x:c r="B22" s="46" t="n">
        <x:f>'Задачи'!G20</x:f>
        <x:v>10</x:v>
      </x:c>
      <x:c r="C22" s="6"/>
      <x:c r="D22" s="6"/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  <x:c r="Q22" s="6"/>
    </x:row>
    <x:row r="23" ht="19" customHeight="1">
      <x:c r="A23" s="6" t="str">
        <x:v>Суммарно, чел·ч</x:v>
      </x:c>
      <x:c r="B23" s="46" t="n">
        <x:f>'Задачи'!H20</x:f>
        <x:v>29.3</x:v>
      </x:c>
      <x:c r="C23" s="6"/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  <x:c r="Q23" s="6"/>
    </x:row>
    <x:row r="24" ht="19" customHeight="1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  <x:c r="Q24" s="6"/>
    </x:row>
    <x:row r="25" ht="19" customHeight="1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  <x:c r="Q25" s="6"/>
    </x:row>
    <x:row r="26" ht="19" customHeight="1">
      <x:c r="A26" s="22" t="str">
        <x:v>Редактировать: лист «Оценки» (E:G), лист «МАИ суждения» (E:G), лист «Задачи» (даты/часы/статусы). Расчётные столбцы связаны формулами.</x:v>
      </x:c>
      <x:c r="B26" s="22"/>
      <x:c r="C26" s="22"/>
      <x:c r="D26" s="22"/>
      <x:c r="E26" s="22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  <x:c r="Q26" s="6"/>
    </x:row>
    <x:row r="27" ht="19" customHeight="1">
      <x:c r="A27" s="22"/>
      <x:c r="B27" s="22"/>
      <x:c r="C27" s="22"/>
      <x:c r="D27" s="22"/>
      <x:c r="E27" s="22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  <x:c r="Q27" s="6"/>
    </x:row>
    <x:row r="28" ht="19" customHeight="1">
      <x:c r="A28" s="22"/>
      <x:c r="B28" s="22"/>
      <x:c r="C28" s="22"/>
      <x:c r="D28" s="22"/>
      <x:c r="E28" s="22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  <x:c r="Q28" s="6"/>
    </x:row>
    <x:row r="29" ht="19" customHeight="1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  <x:c r="Q29" s="6"/>
    </x:row>
    <x:row r="30" ht="19" customHeight="1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  <x:c r="Q30" s="6"/>
    </x:row>
    <x:row r="31" ht="19" customHeight="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  <x:c r="Q31" s="6"/>
    </x:row>
    <x:row r="32" ht="19" customHeight="1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  <x:c r="Q32" s="6"/>
    </x:row>
    <x:row r="33" ht="19" customHeight="1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  <x:c r="Q33" s="6"/>
    </x:row>
    <x:row r="34" ht="19" customHeight="1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  <x:c r="Q34" s="6"/>
    </x:row>
    <x:row r="35" ht="19" customHeight="1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  <x:c r="Q35" s="6"/>
    </x:row>
    <x:row r="36" ht="19" customHeight="1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  <x:c r="Q36" s="6"/>
    </x:row>
    <x:row r="37" ht="19" customHeight="1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  <x:c r="Q37" s="6"/>
    </x:row>
    <x:row r="38" ht="19" customHeight="1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  <x:c r="Q38" s="6"/>
    </x:row>
    <x:row r="39" ht="19" customHeight="1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  <x:c r="Q39" s="6"/>
    </x:row>
    <x:row r="40" ht="19" customHeight="1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  <x:c r="Q40" s="6"/>
    </x:row>
    <x:row r="41" ht="19" customHeight="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  <x:c r="Q41" s="6"/>
    </x:row>
    <x:row r="42" ht="19" customHeight="1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  <x:c r="Q42" s="6"/>
    </x:row>
    <x:row r="43" ht="19" customHeight="1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  <x:c r="Q43" s="6"/>
    </x:row>
    <x:row r="44" ht="19" customHeight="1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  <x:c r="Q44" s="6"/>
    </x:row>
    <x:row r="45" ht="19" customHeight="1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  <x:c r="Q45" s="6"/>
    </x:row>
    <x:row r="46" ht="19" customHeight="1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  <x:c r="Q46" s="6"/>
    </x:row>
    <x:row r="47" ht="19" customHeight="1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  <x:c r="Q47" s="6"/>
    </x:row>
    <x:row r="48" ht="19" customHeight="1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  <x:c r="Q48" s="6"/>
    </x:row>
    <x:row r="49" ht="19" customHeight="1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  <x:c r="Q49" s="6"/>
    </x:row>
    <x:row r="50" ht="19" customHeight="1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  <x:c r="Q50" s="6"/>
    </x:row>
    <x:row r="51" ht="19" customHeight="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  <x:c r="Q51" s="6"/>
    </x:row>
    <x:row r="52" ht="19" customHeight="1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  <x:c r="Q52" s="6"/>
    </x:row>
    <x:row r="53" ht="19" customHeight="1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  <x:c r="Q53" s="6"/>
    </x:row>
    <x:row r="54" ht="19" customHeight="1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  <x:c r="Q54" s="6"/>
    </x:row>
    <x:row r="55" ht="19" customHeight="1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  <x:c r="Q55" s="6"/>
    </x:row>
    <x:row r="56" ht="19" customHeight="1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  <x:c r="Q56" s="6"/>
    </x:row>
    <x:row r="57" ht="19" customHeight="1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  <x:c r="Q57" s="6"/>
    </x:row>
    <x:row r="58" ht="19" customHeight="1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  <x:c r="Q58" s="6"/>
    </x:row>
    <x:row r="59" ht="19" customHeight="1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  <x:c r="Q59" s="6"/>
    </x:row>
    <x:row r="60" ht="19" customHeight="1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  <x:c r="Q60" s="6"/>
    </x:row>
    <x:row r="61" ht="19" customHeight="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  <x:c r="Q61" s="6"/>
    </x:row>
    <x:row r="62" ht="19" customHeight="1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  <x:c r="Q62" s="6"/>
    </x:row>
    <x:row r="63" ht="19" customHeight="1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  <x:c r="Q63" s="6"/>
    </x:row>
    <x:row r="64" ht="19" customHeight="1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  <x:c r="Q64" s="6"/>
    </x:row>
    <x:row r="65" ht="19" customHeight="1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</x:row>
    <x:row r="66" ht="19" customHeight="1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  <x:c r="Q66" s="6"/>
    </x:row>
    <x:row r="67" ht="19" customHeight="1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  <x:c r="Q67" s="6"/>
    </x:row>
    <x:row r="68" ht="19" customHeight="1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  <x:c r="Q68" s="6"/>
    </x:row>
    <x:row r="69" ht="19" customHeight="1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  <x:c r="Q69" s="6"/>
    </x:row>
    <x:row r="70" ht="19" customHeight="1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</x:row>
    <x:row r="71" ht="19" customHeight="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  <x:c r="Q71" s="6"/>
    </x:row>
    <x:row r="72" ht="19" customHeight="1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  <x:c r="Q72" s="6"/>
    </x:row>
    <x:row r="73" ht="19" customHeight="1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  <x:c r="Q73" s="6"/>
    </x:row>
    <x:row r="74" ht="19" customHeight="1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  <x:c r="Q74" s="6"/>
    </x:row>
    <x:row r="75" ht="19" customHeight="1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  <x:c r="Q75" s="6"/>
    </x:row>
    <x:row r="76" ht="19" customHeight="1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  <x:c r="Q76" s="6"/>
    </x:row>
    <x:row r="77" ht="19" customHeight="1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  <x:c r="Q77" s="6"/>
    </x:row>
    <x:row r="78" ht="19" customHeight="1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  <x:c r="Q78" s="6"/>
    </x:row>
    <x:row r="79" ht="19" customHeight="1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  <x:c r="Q79" s="6"/>
    </x:row>
    <x:row r="80" ht="19" customHeight="1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  <x:c r="Q80" s="6"/>
    </x:row>
    <x:row r="81" ht="19" customHeight="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  <x:c r="Q81" s="6"/>
    </x:row>
    <x:row r="82" ht="19" customHeight="1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  <x:c r="Q82" s="6"/>
    </x:row>
    <x:row r="83" ht="19" customHeight="1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  <x:c r="Q83" s="6"/>
    </x:row>
    <x:row r="84" ht="19" customHeight="1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  <x:c r="Q84" s="6"/>
    </x:row>
    <x:row r="85" ht="19" customHeight="1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</x:row>
    <x:row r="86" ht="19" customHeight="1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  <x:c r="Q86" s="6"/>
    </x:row>
    <x:row r="87" ht="19" customHeight="1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  <x:c r="Q87" s="6"/>
    </x:row>
    <x:row r="88" ht="19" customHeight="1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  <x:c r="Q88" s="6"/>
    </x:row>
    <x:row r="89" ht="19" customHeight="1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  <x:c r="Q89" s="6"/>
    </x:row>
    <x:row r="90" ht="19" customHeight="1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  <x:c r="Q90" s="6"/>
    </x:row>
    <x:row r="91" ht="19" customHeight="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  <x:c r="Q91" s="6"/>
    </x:row>
    <x:row r="92" ht="19" customHeight="1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  <x:c r="Q92" s="6"/>
    </x:row>
    <x:row r="93" ht="19" customHeight="1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  <x:c r="Q93" s="6"/>
    </x:row>
    <x:row r="94" ht="19" customHeight="1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  <x:c r="Q94" s="6"/>
    </x:row>
    <x:row r="95" ht="19" customHeight="1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  <x:c r="Q95" s="6"/>
    </x:row>
    <x:row r="96" ht="19" customHeight="1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  <x:c r="Q96" s="6"/>
    </x:row>
    <x:row r="97" ht="19" customHeight="1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  <x:c r="Q97" s="6"/>
    </x:row>
    <x:row r="98" ht="19" customHeight="1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  <x:c r="Q98" s="6"/>
    </x:row>
    <x:row r="99" ht="19" customHeight="1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  <x:c r="Q99" s="6"/>
    </x:row>
    <x:row r="100" ht="19" customHeight="1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  <x:c r="Q100" s="6"/>
    </x:row>
    <x:row r="101" ht="19" customHeight="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  <x:c r="L101" s="6"/>
      <x:c r="M101" s="6"/>
      <x:c r="N101" s="6"/>
      <x:c r="O101" s="6"/>
      <x:c r="P101" s="6"/>
      <x:c r="Q101" s="6"/>
    </x:row>
    <x:row r="102" ht="19" customHeight="1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  <x:c r="M102" s="6"/>
      <x:c r="N102" s="6"/>
      <x:c r="O102" s="6"/>
      <x:c r="P102" s="6"/>
      <x:c r="Q102" s="6"/>
    </x:row>
    <x:row r="103" ht="19" customHeight="1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  <x:c r="L103" s="6"/>
      <x:c r="M103" s="6"/>
      <x:c r="N103" s="6"/>
      <x:c r="O103" s="6"/>
      <x:c r="P103" s="6"/>
      <x:c r="Q103" s="6"/>
    </x:row>
    <x:row r="104" ht="19" customHeight="1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  <x:c r="M104" s="6"/>
      <x:c r="N104" s="6"/>
      <x:c r="O104" s="6"/>
      <x:c r="P104" s="6"/>
      <x:c r="Q104" s="6"/>
    </x:row>
    <x:row r="105" ht="19" customHeight="1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  <x:c r="M105" s="6"/>
      <x:c r="N105" s="6"/>
      <x:c r="O105" s="6"/>
      <x:c r="P105" s="6"/>
      <x:c r="Q105" s="6"/>
    </x:row>
    <x:row r="106" ht="19" customHeight="1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  <x:c r="M106" s="6"/>
      <x:c r="N106" s="6"/>
      <x:c r="O106" s="6"/>
      <x:c r="P106" s="6"/>
      <x:c r="Q106" s="6"/>
    </x:row>
    <x:row r="107" ht="19" customHeight="1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  <x:c r="M107" s="6"/>
      <x:c r="N107" s="6"/>
      <x:c r="O107" s="6"/>
      <x:c r="P107" s="6"/>
      <x:c r="Q107" s="6"/>
    </x:row>
    <x:row r="108" ht="19" customHeight="1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  <x:c r="M108" s="6"/>
      <x:c r="N108" s="6"/>
      <x:c r="O108" s="6"/>
      <x:c r="P108" s="6"/>
      <x:c r="Q108" s="6"/>
    </x:row>
    <x:row r="109" ht="19" customHeight="1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  <x:c r="L109" s="6"/>
      <x:c r="M109" s="6"/>
      <x:c r="N109" s="6"/>
      <x:c r="O109" s="6"/>
      <x:c r="P109" s="6"/>
      <x:c r="Q109" s="6"/>
    </x:row>
    <x:row r="110" ht="19" customHeight="1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  <x:c r="L110" s="6"/>
      <x:c r="M110" s="6"/>
      <x:c r="N110" s="6"/>
      <x:c r="O110" s="6"/>
      <x:c r="P110" s="6"/>
      <x:c r="Q110" s="6"/>
    </x:row>
    <x:row r="111" ht="19" customHeight="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  <x:c r="L111" s="6"/>
      <x:c r="M111" s="6"/>
      <x:c r="N111" s="6"/>
      <x:c r="O111" s="6"/>
      <x:c r="P111" s="6"/>
      <x:c r="Q111" s="6"/>
    </x:row>
    <x:row r="112" ht="19" customHeight="1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  <x:c r="L112" s="6"/>
      <x:c r="M112" s="6"/>
      <x:c r="N112" s="6"/>
      <x:c r="O112" s="6"/>
      <x:c r="P112" s="6"/>
      <x:c r="Q112" s="6"/>
    </x:row>
    <x:row r="113" ht="19" customHeight="1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  <x:c r="L113" s="6"/>
      <x:c r="M113" s="6"/>
      <x:c r="N113" s="6"/>
      <x:c r="O113" s="6"/>
      <x:c r="P113" s="6"/>
      <x:c r="Q113" s="6"/>
    </x:row>
    <x:row r="114" ht="19" customHeight="1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  <x:c r="L114" s="6"/>
      <x:c r="M114" s="6"/>
      <x:c r="N114" s="6"/>
      <x:c r="O114" s="6"/>
      <x:c r="P114" s="6"/>
      <x:c r="Q114" s="6"/>
    </x:row>
    <x:row r="115" ht="19" customHeight="1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  <x:c r="M115" s="6"/>
      <x:c r="N115" s="6"/>
      <x:c r="O115" s="6"/>
      <x:c r="P115" s="6"/>
      <x:c r="Q115" s="6"/>
    </x:row>
    <x:row r="116" ht="19" customHeight="1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  <x:c r="L116" s="6"/>
      <x:c r="M116" s="6"/>
      <x:c r="N116" s="6"/>
      <x:c r="O116" s="6"/>
      <x:c r="P116" s="6"/>
      <x:c r="Q116" s="6"/>
    </x:row>
    <x:row r="117" ht="19" customHeight="1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  <x:c r="M117" s="6"/>
      <x:c r="N117" s="6"/>
      <x:c r="O117" s="6"/>
      <x:c r="P117" s="6"/>
      <x:c r="Q117" s="6"/>
    </x:row>
    <x:row r="118" ht="19" customHeight="1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  <x:c r="M118" s="6"/>
      <x:c r="N118" s="6"/>
      <x:c r="O118" s="6"/>
      <x:c r="P118" s="6"/>
      <x:c r="Q118" s="6"/>
    </x:row>
    <x:row r="119" ht="19" customHeight="1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  <x:c r="M119" s="6"/>
      <x:c r="N119" s="6"/>
      <x:c r="O119" s="6"/>
      <x:c r="P119" s="6"/>
      <x:c r="Q119" s="6"/>
    </x:row>
    <x:row r="120" ht="19" customHeight="1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  <x:c r="M120" s="6"/>
      <x:c r="N120" s="6"/>
      <x:c r="O120" s="6"/>
      <x:c r="P120" s="6"/>
      <x:c r="Q120" s="6"/>
    </x:row>
    <x:row r="121" ht="19" customHeight="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  <x:c r="M121" s="6"/>
      <x:c r="N121" s="6"/>
      <x:c r="O121" s="6"/>
      <x:c r="P121" s="6"/>
      <x:c r="Q121" s="6"/>
    </x:row>
    <x:row r="122" ht="19" customHeight="1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  <x:c r="L122" s="6"/>
      <x:c r="M122" s="6"/>
      <x:c r="N122" s="6"/>
      <x:c r="O122" s="6"/>
      <x:c r="P122" s="6"/>
      <x:c r="Q122" s="6"/>
    </x:row>
    <x:row r="123" ht="19" customHeight="1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  <x:c r="L123" s="6"/>
      <x:c r="M123" s="6"/>
      <x:c r="N123" s="6"/>
      <x:c r="O123" s="6"/>
      <x:c r="P123" s="6"/>
      <x:c r="Q123" s="6"/>
    </x:row>
    <x:row r="124" ht="19" customHeight="1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  <x:c r="L124" s="6"/>
      <x:c r="M124" s="6"/>
      <x:c r="N124" s="6"/>
      <x:c r="O124" s="6"/>
      <x:c r="P124" s="6"/>
      <x:c r="Q124" s="6"/>
    </x:row>
    <x:row r="125" ht="19" customHeight="1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  <x:c r="L125" s="6"/>
      <x:c r="M125" s="6"/>
      <x:c r="N125" s="6"/>
      <x:c r="O125" s="6"/>
      <x:c r="P125" s="6"/>
      <x:c r="Q125" s="6"/>
    </x:row>
    <x:row r="126" ht="19" customHeight="1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  <x:c r="L126" s="6"/>
      <x:c r="M126" s="6"/>
      <x:c r="N126" s="6"/>
      <x:c r="O126" s="6"/>
      <x:c r="P126" s="6"/>
      <x:c r="Q126" s="6"/>
    </x:row>
    <x:row r="127" ht="19" customHeight="1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  <x:c r="L127" s="6"/>
      <x:c r="M127" s="6"/>
      <x:c r="N127" s="6"/>
      <x:c r="O127" s="6"/>
      <x:c r="P127" s="6"/>
      <x:c r="Q127" s="6"/>
    </x:row>
    <x:row r="128" ht="19" customHeight="1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  <x:c r="M128" s="6"/>
      <x:c r="N128" s="6"/>
      <x:c r="O128" s="6"/>
      <x:c r="P128" s="6"/>
      <x:c r="Q128" s="6"/>
    </x:row>
    <x:row r="129" ht="19" customHeight="1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  <x:c r="L129" s="6"/>
      <x:c r="M129" s="6"/>
      <x:c r="N129" s="6"/>
      <x:c r="O129" s="6"/>
      <x:c r="P129" s="6"/>
      <x:c r="Q129" s="6"/>
    </x:row>
    <x:row r="130" ht="19" customHeight="1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  <x:c r="M130" s="6"/>
      <x:c r="N130" s="6"/>
      <x:c r="O130" s="6"/>
      <x:c r="P130" s="6"/>
      <x:c r="Q130" s="6"/>
    </x:row>
    <x:row r="131" ht="19" customHeight="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  <x:c r="M131" s="6"/>
      <x:c r="N131" s="6"/>
      <x:c r="O131" s="6"/>
      <x:c r="P131" s="6"/>
      <x:c r="Q131" s="6"/>
    </x:row>
    <x:row r="132" ht="19" customHeight="1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  <x:c r="M132" s="6"/>
      <x:c r="N132" s="6"/>
      <x:c r="O132" s="6"/>
      <x:c r="P132" s="6"/>
      <x:c r="Q132" s="6"/>
    </x:row>
    <x:row r="133" ht="19" customHeight="1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  <x:c r="M133" s="6"/>
      <x:c r="N133" s="6"/>
      <x:c r="O133" s="6"/>
      <x:c r="P133" s="6"/>
      <x:c r="Q133" s="6"/>
    </x:row>
    <x:row r="134" ht="19" customHeight="1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  <x:c r="M134" s="6"/>
      <x:c r="N134" s="6"/>
      <x:c r="O134" s="6"/>
      <x:c r="P134" s="6"/>
      <x:c r="Q134" s="6"/>
    </x:row>
    <x:row r="135" ht="19" customHeight="1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  <x:c r="M135" s="6"/>
      <x:c r="N135" s="6"/>
      <x:c r="O135" s="6"/>
      <x:c r="P135" s="6"/>
      <x:c r="Q135" s="6"/>
    </x:row>
    <x:row r="136" ht="19" customHeight="1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  <x:c r="M136" s="6"/>
      <x:c r="N136" s="6"/>
      <x:c r="O136" s="6"/>
      <x:c r="P136" s="6"/>
      <x:c r="Q136" s="6"/>
    </x:row>
    <x:row r="137" ht="19" customHeight="1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  <x:c r="M137" s="6"/>
      <x:c r="N137" s="6"/>
      <x:c r="O137" s="6"/>
      <x:c r="P137" s="6"/>
      <x:c r="Q137" s="6"/>
    </x:row>
    <x:row r="138" ht="19" customHeight="1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  <x:c r="M138" s="6"/>
      <x:c r="N138" s="6"/>
      <x:c r="O138" s="6"/>
      <x:c r="P138" s="6"/>
      <x:c r="Q138" s="6"/>
    </x:row>
    <x:row r="139" ht="19" customHeight="1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  <x:c r="N139" s="6"/>
      <x:c r="O139" s="6"/>
      <x:c r="P139" s="6"/>
      <x:c r="Q139" s="6"/>
    </x:row>
    <x:row r="140" ht="19" customHeight="1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  <x:c r="M140" s="6"/>
      <x:c r="N140" s="6"/>
      <x:c r="O140" s="6"/>
      <x:c r="P140" s="6"/>
      <x:c r="Q140" s="6"/>
    </x:row>
    <x:row r="141" ht="19" customHeight="1">
      <x:c r="A141" s="6"/>
      <x:c r="B141" s="6"/>
      <x:c r="C141" s="6"/>
      <x:c r="D141" s="6"/>
      <x:c r="E141" s="6"/>
      <x:c r="F141" s="6"/>
      <x:c r="G141" s="6"/>
      <x:c r="H141" s="6"/>
      <x:c r="I141" s="6"/>
      <x:c r="J141" s="6"/>
      <x:c r="K141" s="6"/>
      <x:c r="L141" s="6"/>
      <x:c r="M141" s="6"/>
      <x:c r="N141" s="6"/>
      <x:c r="O141" s="6"/>
      <x:c r="P141" s="6"/>
      <x:c r="Q141" s="6"/>
    </x:row>
    <x:row r="142" ht="19" customHeight="1">
      <x:c r="A142" s="6"/>
      <x:c r="B142" s="6"/>
      <x:c r="C142" s="6"/>
      <x:c r="D142" s="6"/>
      <x:c r="E142" s="6"/>
      <x:c r="F142" s="6"/>
      <x:c r="G142" s="6"/>
      <x:c r="H142" s="6"/>
      <x:c r="I142" s="6"/>
      <x:c r="J142" s="6"/>
      <x:c r="K142" s="6"/>
      <x:c r="L142" s="6"/>
      <x:c r="M142" s="6"/>
      <x:c r="N142" s="6"/>
      <x:c r="O142" s="6"/>
      <x:c r="P142" s="6"/>
      <x:c r="Q142" s="6"/>
    </x:row>
    <x:row r="143" ht="19" customHeight="1">
      <x:c r="A143" s="6"/>
      <x:c r="B143" s="6"/>
      <x:c r="C143" s="6"/>
      <x:c r="D143" s="6"/>
      <x:c r="E143" s="6"/>
      <x:c r="F143" s="6"/>
      <x:c r="G143" s="6"/>
      <x:c r="H143" s="6"/>
      <x:c r="I143" s="6"/>
      <x:c r="J143" s="6"/>
      <x:c r="K143" s="6"/>
      <x:c r="L143" s="6"/>
      <x:c r="M143" s="6"/>
      <x:c r="N143" s="6"/>
      <x:c r="O143" s="6"/>
      <x:c r="P143" s="6"/>
      <x:c r="Q143" s="6"/>
    </x:row>
    <x:row r="144" ht="19" customHeight="1">
      <x:c r="A144" s="6"/>
      <x:c r="B144" s="6"/>
      <x:c r="C144" s="6"/>
      <x:c r="D144" s="6"/>
      <x:c r="E144" s="6"/>
      <x:c r="F144" s="6"/>
      <x:c r="G144" s="6"/>
      <x:c r="H144" s="6"/>
      <x:c r="I144" s="6"/>
      <x:c r="J144" s="6"/>
      <x:c r="K144" s="6"/>
      <x:c r="L144" s="6"/>
      <x:c r="M144" s="6"/>
      <x:c r="N144" s="6"/>
      <x:c r="O144" s="6"/>
      <x:c r="P144" s="6"/>
      <x:c r="Q144" s="6"/>
    </x:row>
    <x:row r="145" ht="19" customHeight="1">
      <x:c r="A145" s="6"/>
      <x:c r="B145" s="6"/>
      <x:c r="C145" s="6"/>
      <x:c r="D145" s="6"/>
      <x:c r="E145" s="6"/>
      <x:c r="F145" s="6"/>
      <x:c r="G145" s="6"/>
      <x:c r="H145" s="6"/>
      <x:c r="I145" s="6"/>
      <x:c r="J145" s="6"/>
      <x:c r="K145" s="6"/>
      <x:c r="L145" s="6"/>
      <x:c r="M145" s="6"/>
      <x:c r="N145" s="6"/>
      <x:c r="O145" s="6"/>
      <x:c r="P145" s="6"/>
      <x:c r="Q145" s="6"/>
    </x:row>
    <x:row r="146" ht="19" customHeight="1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  <x:c r="K146" s="6"/>
      <x:c r="L146" s="6"/>
      <x:c r="M146" s="6"/>
      <x:c r="N146" s="6"/>
      <x:c r="O146" s="6"/>
      <x:c r="P146" s="6"/>
      <x:c r="Q146" s="6"/>
    </x:row>
    <x:row r="147" ht="19" customHeight="1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  <x:c r="K147" s="6"/>
      <x:c r="L147" s="6"/>
      <x:c r="M147" s="6"/>
      <x:c r="N147" s="6"/>
      <x:c r="O147" s="6"/>
      <x:c r="P147" s="6"/>
      <x:c r="Q147" s="6"/>
    </x:row>
    <x:row r="148" ht="19" customHeight="1">
      <x:c r="A148" s="6"/>
      <x:c r="B148" s="6"/>
      <x:c r="C148" s="6"/>
      <x:c r="D148" s="6"/>
      <x:c r="E148" s="6"/>
      <x:c r="F148" s="6"/>
      <x:c r="G148" s="6"/>
      <x:c r="H148" s="6"/>
      <x:c r="I148" s="6"/>
      <x:c r="J148" s="6"/>
      <x:c r="K148" s="6"/>
      <x:c r="L148" s="6"/>
      <x:c r="M148" s="6"/>
      <x:c r="N148" s="6"/>
      <x:c r="O148" s="6"/>
      <x:c r="P148" s="6"/>
      <x:c r="Q148" s="6"/>
    </x:row>
    <x:row r="149" ht="19" customHeight="1">
      <x:c r="A149" s="6"/>
      <x:c r="B149" s="6"/>
      <x:c r="C149" s="6"/>
      <x:c r="D149" s="6"/>
      <x:c r="E149" s="6"/>
      <x:c r="F149" s="6"/>
      <x:c r="G149" s="6"/>
      <x:c r="H149" s="6"/>
      <x:c r="I149" s="6"/>
      <x:c r="J149" s="6"/>
      <x:c r="K149" s="6"/>
      <x:c r="L149" s="6"/>
      <x:c r="M149" s="6"/>
      <x:c r="N149" s="6"/>
      <x:c r="O149" s="6"/>
      <x:c r="P149" s="6"/>
      <x:c r="Q149" s="6"/>
    </x:row>
    <x:row r="150" ht="19" customHeight="1">
      <x:c r="A150" s="6"/>
      <x:c r="B150" s="6"/>
      <x:c r="C150" s="6"/>
      <x:c r="D150" s="6"/>
      <x:c r="E150" s="6"/>
      <x:c r="F150" s="6"/>
      <x:c r="G150" s="6"/>
      <x:c r="H150" s="6"/>
      <x:c r="I150" s="6"/>
      <x:c r="J150" s="6"/>
      <x:c r="K150" s="6"/>
      <x:c r="L150" s="6"/>
      <x:c r="M150" s="6"/>
      <x:c r="N150" s="6"/>
      <x:c r="O150" s="6"/>
      <x:c r="P150" s="6"/>
      <x:c r="Q150" s="6"/>
    </x:row>
    <x:row r="151" ht="19" customHeight="1">
      <x:c r="A151" s="6"/>
      <x:c r="B151" s="6"/>
      <x:c r="C151" s="6"/>
      <x:c r="D151" s="6"/>
      <x:c r="E151" s="6"/>
      <x:c r="F151" s="6"/>
      <x:c r="G151" s="6"/>
      <x:c r="H151" s="6"/>
      <x:c r="I151" s="6"/>
      <x:c r="J151" s="6"/>
      <x:c r="K151" s="6"/>
      <x:c r="L151" s="6"/>
      <x:c r="M151" s="6"/>
      <x:c r="N151" s="6"/>
      <x:c r="O151" s="6"/>
      <x:c r="P151" s="6"/>
      <x:c r="Q151" s="6"/>
    </x:row>
    <x:row r="152" ht="19" customHeight="1">
      <x:c r="A152" s="6"/>
      <x:c r="B152" s="6"/>
      <x:c r="C152" s="6"/>
      <x:c r="D152" s="6"/>
      <x:c r="E152" s="6"/>
      <x:c r="F152" s="6"/>
      <x:c r="G152" s="6"/>
      <x:c r="H152" s="6"/>
      <x:c r="I152" s="6"/>
      <x:c r="J152" s="6"/>
      <x:c r="K152" s="6"/>
      <x:c r="L152" s="6"/>
      <x:c r="M152" s="6"/>
      <x:c r="N152" s="6"/>
      <x:c r="O152" s="6"/>
      <x:c r="P152" s="6"/>
      <x:c r="Q152" s="6"/>
    </x:row>
    <x:row r="153" ht="19" customHeight="1">
      <x:c r="A153" s="6"/>
      <x:c r="B153" s="6"/>
      <x:c r="C153" s="6"/>
      <x:c r="D153" s="6"/>
      <x:c r="E153" s="6"/>
      <x:c r="F153" s="6"/>
      <x:c r="G153" s="6"/>
      <x:c r="H153" s="6"/>
      <x:c r="I153" s="6"/>
      <x:c r="J153" s="6"/>
      <x:c r="K153" s="6"/>
      <x:c r="L153" s="6"/>
      <x:c r="M153" s="6"/>
      <x:c r="N153" s="6"/>
      <x:c r="O153" s="6"/>
      <x:c r="P153" s="6"/>
      <x:c r="Q153" s="6"/>
    </x:row>
    <x:row r="154" ht="19" customHeight="1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  <x:c r="K154" s="6"/>
      <x:c r="L154" s="6"/>
      <x:c r="M154" s="6"/>
      <x:c r="N154" s="6"/>
      <x:c r="O154" s="6"/>
      <x:c r="P154" s="6"/>
      <x:c r="Q154" s="6"/>
    </x:row>
    <x:row r="155" ht="19" customHeight="1">
      <x:c r="A155" s="6"/>
      <x:c r="B155" s="6"/>
      <x:c r="C155" s="6"/>
      <x:c r="D155" s="6"/>
      <x:c r="E155" s="6"/>
      <x:c r="F155" s="6"/>
      <x:c r="G155" s="6"/>
      <x:c r="H155" s="6"/>
      <x:c r="I155" s="6"/>
      <x:c r="J155" s="6"/>
      <x:c r="K155" s="6"/>
      <x:c r="L155" s="6"/>
      <x:c r="M155" s="6"/>
      <x:c r="N155" s="6"/>
      <x:c r="O155" s="6"/>
      <x:c r="P155" s="6"/>
      <x:c r="Q155" s="6"/>
    </x:row>
    <x:row r="156" ht="19" customHeight="1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  <x:c r="K156" s="6"/>
      <x:c r="L156" s="6"/>
      <x:c r="M156" s="6"/>
      <x:c r="N156" s="6"/>
      <x:c r="O156" s="6"/>
      <x:c r="P156" s="6"/>
      <x:c r="Q156" s="6"/>
    </x:row>
    <x:row r="157" ht="19" customHeight="1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  <x:c r="K157" s="6"/>
      <x:c r="L157" s="6"/>
      <x:c r="M157" s="6"/>
      <x:c r="N157" s="6"/>
      <x:c r="O157" s="6"/>
      <x:c r="P157" s="6"/>
      <x:c r="Q157" s="6"/>
    </x:row>
    <x:row r="158" ht="19" customHeight="1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  <x:c r="K158" s="6"/>
      <x:c r="L158" s="6"/>
      <x:c r="M158" s="6"/>
      <x:c r="N158" s="6"/>
      <x:c r="O158" s="6"/>
      <x:c r="P158" s="6"/>
      <x:c r="Q158" s="6"/>
    </x:row>
    <x:row r="159" ht="19" customHeight="1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  <x:c r="K159" s="6"/>
      <x:c r="L159" s="6"/>
      <x:c r="M159" s="6"/>
      <x:c r="N159" s="6"/>
      <x:c r="O159" s="6"/>
      <x:c r="P159" s="6"/>
      <x:c r="Q159" s="6"/>
    </x:row>
    <x:row r="160" ht="19" customHeight="1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  <x:c r="K160" s="6"/>
      <x:c r="L160" s="6"/>
      <x:c r="M160" s="6"/>
      <x:c r="N160" s="6"/>
      <x:c r="O160" s="6"/>
      <x:c r="P160" s="6"/>
      <x:c r="Q160" s="6"/>
    </x:row>
    <x:row r="161" ht="19" customHeight="1">
      <x:c r="A161" s="6"/>
      <x:c r="B161" s="6"/>
      <x:c r="C161" s="6"/>
      <x:c r="D161" s="6"/>
      <x:c r="E161" s="6"/>
      <x:c r="F161" s="6"/>
      <x:c r="G161" s="6"/>
      <x:c r="H161" s="6"/>
      <x:c r="I161" s="6"/>
      <x:c r="J161" s="6"/>
      <x:c r="K161" s="6"/>
      <x:c r="L161" s="6"/>
      <x:c r="M161" s="6"/>
      <x:c r="N161" s="6"/>
      <x:c r="O161" s="6"/>
      <x:c r="P161" s="6"/>
      <x:c r="Q161" s="6"/>
    </x:row>
    <x:row r="162" ht="19" customHeight="1">
      <x:c r="A162" s="6"/>
      <x:c r="B162" s="6"/>
      <x:c r="C162" s="6"/>
      <x:c r="D162" s="6"/>
      <x:c r="E162" s="6"/>
      <x:c r="F162" s="6"/>
      <x:c r="G162" s="6"/>
      <x:c r="H162" s="6"/>
      <x:c r="I162" s="6"/>
      <x:c r="J162" s="6"/>
      <x:c r="K162" s="6"/>
      <x:c r="L162" s="6"/>
      <x:c r="M162" s="6"/>
      <x:c r="N162" s="6"/>
      <x:c r="O162" s="6"/>
      <x:c r="P162" s="6"/>
      <x:c r="Q162" s="6"/>
    </x:row>
    <x:row r="163" ht="19" customHeight="1">
      <x:c r="A163" s="6"/>
      <x:c r="B163" s="6"/>
      <x:c r="C163" s="6"/>
      <x:c r="D163" s="6"/>
      <x:c r="E163" s="6"/>
      <x:c r="F163" s="6"/>
      <x:c r="G163" s="6"/>
      <x:c r="H163" s="6"/>
      <x:c r="I163" s="6"/>
      <x:c r="J163" s="6"/>
      <x:c r="K163" s="6"/>
      <x:c r="L163" s="6"/>
      <x:c r="M163" s="6"/>
      <x:c r="N163" s="6"/>
      <x:c r="O163" s="6"/>
      <x:c r="P163" s="6"/>
      <x:c r="Q163" s="6"/>
    </x:row>
    <x:row r="164" ht="19" customHeight="1">
      <x:c r="A164" s="6"/>
      <x:c r="B164" s="6"/>
      <x:c r="C164" s="6"/>
      <x:c r="D164" s="6"/>
      <x:c r="E164" s="6"/>
      <x:c r="F164" s="6"/>
      <x:c r="G164" s="6"/>
      <x:c r="H164" s="6"/>
      <x:c r="I164" s="6"/>
      <x:c r="J164" s="6"/>
      <x:c r="K164" s="6"/>
      <x:c r="L164" s="6"/>
      <x:c r="M164" s="6"/>
      <x:c r="N164" s="6"/>
      <x:c r="O164" s="6"/>
      <x:c r="P164" s="6"/>
      <x:c r="Q164" s="6"/>
    </x:row>
    <x:row r="165" ht="19" customHeight="1">
      <x:c r="A165" s="6"/>
      <x:c r="B165" s="6"/>
      <x:c r="C165" s="6"/>
      <x:c r="D165" s="6"/>
      <x:c r="E165" s="6"/>
      <x:c r="F165" s="6"/>
      <x:c r="G165" s="6"/>
      <x:c r="H165" s="6"/>
      <x:c r="I165" s="6"/>
      <x:c r="J165" s="6"/>
      <x:c r="K165" s="6"/>
      <x:c r="L165" s="6"/>
      <x:c r="M165" s="6"/>
      <x:c r="N165" s="6"/>
      <x:c r="O165" s="6"/>
      <x:c r="P165" s="6"/>
      <x:c r="Q165" s="6"/>
    </x:row>
    <x:row r="166" ht="19" customHeight="1">
      <x:c r="A166" s="6"/>
      <x:c r="B166" s="6"/>
      <x:c r="C166" s="6"/>
      <x:c r="D166" s="6"/>
      <x:c r="E166" s="6"/>
      <x:c r="F166" s="6"/>
      <x:c r="G166" s="6"/>
      <x:c r="H166" s="6"/>
      <x:c r="I166" s="6"/>
      <x:c r="J166" s="6"/>
      <x:c r="K166" s="6"/>
      <x:c r="L166" s="6"/>
      <x:c r="M166" s="6"/>
      <x:c r="N166" s="6"/>
      <x:c r="O166" s="6"/>
      <x:c r="P166" s="6"/>
      <x:c r="Q166" s="6"/>
    </x:row>
    <x:row r="167" ht="19" customHeight="1">
      <x:c r="A167" s="6"/>
      <x:c r="B167" s="6"/>
      <x:c r="C167" s="6"/>
      <x:c r="D167" s="6"/>
      <x:c r="E167" s="6"/>
      <x:c r="F167" s="6"/>
      <x:c r="G167" s="6"/>
      <x:c r="H167" s="6"/>
      <x:c r="I167" s="6"/>
      <x:c r="J167" s="6"/>
      <x:c r="K167" s="6"/>
      <x:c r="L167" s="6"/>
      <x:c r="M167" s="6"/>
      <x:c r="N167" s="6"/>
      <x:c r="O167" s="6"/>
      <x:c r="P167" s="6"/>
      <x:c r="Q167" s="6"/>
    </x:row>
    <x:row r="168" ht="19" customHeight="1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  <x:c r="K168" s="6"/>
      <x:c r="L168" s="6"/>
      <x:c r="M168" s="6"/>
      <x:c r="N168" s="6"/>
      <x:c r="O168" s="6"/>
      <x:c r="P168" s="6"/>
      <x:c r="Q168" s="6"/>
    </x:row>
    <x:row r="169" ht="19" customHeight="1">
      <x:c r="A169" s="6"/>
      <x:c r="B169" s="6"/>
      <x:c r="C169" s="6"/>
      <x:c r="D169" s="6"/>
      <x:c r="E169" s="6"/>
      <x:c r="F169" s="6"/>
      <x:c r="G169" s="6"/>
      <x:c r="H169" s="6"/>
      <x:c r="I169" s="6"/>
      <x:c r="J169" s="6"/>
      <x:c r="K169" s="6"/>
      <x:c r="L169" s="6"/>
      <x:c r="M169" s="6"/>
      <x:c r="N169" s="6"/>
      <x:c r="O169" s="6"/>
      <x:c r="P169" s="6"/>
      <x:c r="Q169" s="6"/>
    </x:row>
    <x:row r="170" ht="19" customHeight="1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  <x:c r="K170" s="6"/>
      <x:c r="L170" s="6"/>
      <x:c r="M170" s="6"/>
      <x:c r="N170" s="6"/>
      <x:c r="O170" s="6"/>
      <x:c r="P170" s="6"/>
      <x:c r="Q170" s="6"/>
    </x:row>
    <x:row r="171" ht="19" customHeight="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  <x:c r="M171" s="6"/>
      <x:c r="N171" s="6"/>
      <x:c r="O171" s="6"/>
      <x:c r="P171" s="6"/>
      <x:c r="Q171" s="6"/>
    </x:row>
    <x:row r="172" ht="19" customHeight="1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  <x:c r="K172" s="6"/>
      <x:c r="L172" s="6"/>
      <x:c r="M172" s="6"/>
      <x:c r="N172" s="6"/>
      <x:c r="O172" s="6"/>
      <x:c r="P172" s="6"/>
      <x:c r="Q172" s="6"/>
    </x:row>
    <x:row r="173" ht="19" customHeight="1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  <x:c r="K173" s="6"/>
      <x:c r="L173" s="6"/>
      <x:c r="M173" s="6"/>
      <x:c r="N173" s="6"/>
      <x:c r="O173" s="6"/>
      <x:c r="P173" s="6"/>
      <x:c r="Q173" s="6"/>
    </x:row>
    <x:row r="174" ht="19" customHeight="1">
      <x:c r="A174" s="6"/>
      <x:c r="B174" s="6"/>
      <x:c r="C174" s="6"/>
      <x:c r="D174" s="6"/>
      <x:c r="E174" s="6"/>
      <x:c r="F174" s="6"/>
      <x:c r="G174" s="6"/>
      <x:c r="H174" s="6"/>
      <x:c r="I174" s="6"/>
      <x:c r="J174" s="6"/>
      <x:c r="K174" s="6"/>
      <x:c r="L174" s="6"/>
      <x:c r="M174" s="6"/>
      <x:c r="N174" s="6"/>
      <x:c r="O174" s="6"/>
      <x:c r="P174" s="6"/>
      <x:c r="Q174" s="6"/>
    </x:row>
    <x:row r="175" ht="19" customHeight="1">
      <x:c r="A175" s="6"/>
      <x:c r="B175" s="6"/>
      <x:c r="C175" s="6"/>
      <x:c r="D175" s="6"/>
      <x:c r="E175" s="6"/>
      <x:c r="F175" s="6"/>
      <x:c r="G175" s="6"/>
      <x:c r="H175" s="6"/>
      <x:c r="I175" s="6"/>
      <x:c r="J175" s="6"/>
      <x:c r="K175" s="6"/>
      <x:c r="L175" s="6"/>
      <x:c r="M175" s="6"/>
      <x:c r="N175" s="6"/>
      <x:c r="O175" s="6"/>
      <x:c r="P175" s="6"/>
      <x:c r="Q175" s="6"/>
    </x:row>
    <x:row r="176" ht="19" customHeight="1">
      <x:c r="A176" s="6"/>
      <x:c r="B176" s="6"/>
      <x:c r="C176" s="6"/>
      <x:c r="D176" s="6"/>
      <x:c r="E176" s="6"/>
      <x:c r="F176" s="6"/>
      <x:c r="G176" s="6"/>
      <x:c r="H176" s="6"/>
      <x:c r="I176" s="6"/>
      <x:c r="J176" s="6"/>
      <x:c r="K176" s="6"/>
      <x:c r="L176" s="6"/>
      <x:c r="M176" s="6"/>
      <x:c r="N176" s="6"/>
      <x:c r="O176" s="6"/>
      <x:c r="P176" s="6"/>
      <x:c r="Q176" s="6"/>
    </x:row>
    <x:row r="177" ht="19" customHeight="1">
      <x:c r="A177" s="6"/>
      <x:c r="B177" s="6"/>
      <x:c r="C177" s="6"/>
      <x:c r="D177" s="6"/>
      <x:c r="E177" s="6"/>
      <x:c r="F177" s="6"/>
      <x:c r="G177" s="6"/>
      <x:c r="H177" s="6"/>
      <x:c r="I177" s="6"/>
      <x:c r="J177" s="6"/>
      <x:c r="K177" s="6"/>
      <x:c r="L177" s="6"/>
      <x:c r="M177" s="6"/>
      <x:c r="N177" s="6"/>
      <x:c r="O177" s="6"/>
      <x:c r="P177" s="6"/>
      <x:c r="Q177" s="6"/>
    </x:row>
    <x:row r="178" ht="19" customHeight="1">
      <x:c r="A178" s="6"/>
      <x:c r="B178" s="6"/>
      <x:c r="C178" s="6"/>
      <x:c r="D178" s="6"/>
      <x:c r="E178" s="6"/>
      <x:c r="F178" s="6"/>
      <x:c r="G178" s="6"/>
      <x:c r="H178" s="6"/>
      <x:c r="I178" s="6"/>
      <x:c r="J178" s="6"/>
      <x:c r="K178" s="6"/>
      <x:c r="L178" s="6"/>
      <x:c r="M178" s="6"/>
      <x:c r="N178" s="6"/>
      <x:c r="O178" s="6"/>
      <x:c r="P178" s="6"/>
      <x:c r="Q178" s="6"/>
    </x:row>
    <x:row r="179" ht="19" customHeight="1">
      <x:c r="A179" s="6"/>
      <x:c r="B179" s="6"/>
      <x:c r="C179" s="6"/>
      <x:c r="D179" s="6"/>
      <x:c r="E179" s="6"/>
      <x:c r="F179" s="6"/>
      <x:c r="G179" s="6"/>
      <x:c r="H179" s="6"/>
      <x:c r="I179" s="6"/>
      <x:c r="J179" s="6"/>
      <x:c r="K179" s="6"/>
      <x:c r="L179" s="6"/>
      <x:c r="M179" s="6"/>
      <x:c r="N179" s="6"/>
      <x:c r="O179" s="6"/>
      <x:c r="P179" s="6"/>
      <x:c r="Q179" s="6"/>
    </x:row>
    <x:row r="180" ht="19" customHeight="1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  <x:c r="K180" s="6"/>
      <x:c r="L180" s="6"/>
      <x:c r="M180" s="6"/>
      <x:c r="N180" s="6"/>
      <x:c r="O180" s="6"/>
      <x:c r="P180" s="6"/>
      <x:c r="Q180" s="6"/>
    </x:row>
    <x:row r="181" ht="19" customHeight="1">
      <x:c r="A181" s="6"/>
      <x:c r="B181" s="6"/>
      <x:c r="C181" s="6"/>
      <x:c r="D181" s="6"/>
      <x:c r="E181" s="6"/>
      <x:c r="F181" s="6"/>
      <x:c r="G181" s="6"/>
      <x:c r="H181" s="6"/>
      <x:c r="I181" s="6"/>
      <x:c r="J181" s="6"/>
      <x:c r="K181" s="6"/>
      <x:c r="L181" s="6"/>
      <x:c r="M181" s="6"/>
      <x:c r="N181" s="6"/>
      <x:c r="O181" s="6"/>
      <x:c r="P181" s="6"/>
      <x:c r="Q181" s="6"/>
    </x:row>
    <x:row r="182" ht="19" customHeight="1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  <x:c r="K182" s="6"/>
      <x:c r="L182" s="6"/>
      <x:c r="M182" s="6"/>
      <x:c r="N182" s="6"/>
      <x:c r="O182" s="6"/>
      <x:c r="P182" s="6"/>
      <x:c r="Q182" s="6"/>
    </x:row>
    <x:row r="183" ht="19" customHeight="1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  <x:c r="M183" s="6"/>
      <x:c r="N183" s="6"/>
      <x:c r="O183" s="6"/>
      <x:c r="P183" s="6"/>
      <x:c r="Q183" s="6"/>
    </x:row>
    <x:row r="184" ht="19" customHeight="1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  <x:c r="K184" s="6"/>
      <x:c r="L184" s="6"/>
      <x:c r="M184" s="6"/>
      <x:c r="N184" s="6"/>
      <x:c r="O184" s="6"/>
      <x:c r="P184" s="6"/>
      <x:c r="Q184" s="6"/>
    </x:row>
    <x:row r="185" ht="19" customHeight="1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  <x:c r="M185" s="6"/>
      <x:c r="N185" s="6"/>
      <x:c r="O185" s="6"/>
      <x:c r="P185" s="6"/>
      <x:c r="Q185" s="6"/>
    </x:row>
    <x:row r="186" ht="19" customHeight="1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  <x:c r="K186" s="6"/>
      <x:c r="L186" s="6"/>
      <x:c r="M186" s="6"/>
      <x:c r="N186" s="6"/>
      <x:c r="O186" s="6"/>
      <x:c r="P186" s="6"/>
      <x:c r="Q186" s="6"/>
    </x:row>
    <x:row r="187" ht="19" customHeight="1">
      <x:c r="A187" s="6"/>
      <x:c r="B187" s="6"/>
      <x:c r="C187" s="6"/>
      <x:c r="D187" s="6"/>
      <x:c r="E187" s="6"/>
      <x:c r="F187" s="6"/>
      <x:c r="G187" s="6"/>
      <x:c r="H187" s="6"/>
      <x:c r="I187" s="6"/>
      <x:c r="J187" s="6"/>
      <x:c r="K187" s="6"/>
      <x:c r="L187" s="6"/>
      <x:c r="M187" s="6"/>
      <x:c r="N187" s="6"/>
      <x:c r="O187" s="6"/>
      <x:c r="P187" s="6"/>
      <x:c r="Q187" s="6"/>
    </x:row>
    <x:row r="188" ht="19" customHeight="1">
      <x:c r="A188" s="6"/>
      <x:c r="B188" s="6"/>
      <x:c r="C188" s="6"/>
      <x:c r="D188" s="6"/>
      <x:c r="E188" s="6"/>
      <x:c r="F188" s="6"/>
      <x:c r="G188" s="6"/>
      <x:c r="H188" s="6"/>
      <x:c r="I188" s="6"/>
      <x:c r="J188" s="6"/>
      <x:c r="K188" s="6"/>
      <x:c r="L188" s="6"/>
      <x:c r="M188" s="6"/>
      <x:c r="N188" s="6"/>
      <x:c r="O188" s="6"/>
      <x:c r="P188" s="6"/>
      <x:c r="Q188" s="6"/>
    </x:row>
    <x:row r="189" ht="19" customHeight="1">
      <x:c r="A189" s="6"/>
      <x:c r="B189" s="6"/>
      <x:c r="C189" s="6"/>
      <x:c r="D189" s="6"/>
      <x:c r="E189" s="6"/>
      <x:c r="F189" s="6"/>
      <x:c r="G189" s="6"/>
      <x:c r="H189" s="6"/>
      <x:c r="I189" s="6"/>
      <x:c r="J189" s="6"/>
      <x:c r="K189" s="6"/>
      <x:c r="L189" s="6"/>
      <x:c r="M189" s="6"/>
      <x:c r="N189" s="6"/>
      <x:c r="O189" s="6"/>
      <x:c r="P189" s="6"/>
      <x:c r="Q189" s="6"/>
    </x:row>
    <x:row r="190" ht="19" customHeight="1">
      <x:c r="A190" s="6"/>
      <x:c r="B190" s="6"/>
      <x:c r="C190" s="6"/>
      <x:c r="D190" s="6"/>
      <x:c r="E190" s="6"/>
      <x:c r="F190" s="6"/>
      <x:c r="G190" s="6"/>
      <x:c r="H190" s="6"/>
      <x:c r="I190" s="6"/>
      <x:c r="J190" s="6"/>
      <x:c r="K190" s="6"/>
      <x:c r="L190" s="6"/>
      <x:c r="M190" s="6"/>
      <x:c r="N190" s="6"/>
      <x:c r="O190" s="6"/>
      <x:c r="P190" s="6"/>
      <x:c r="Q190" s="6"/>
    </x:row>
    <x:row r="191" ht="19" customHeight="1">
      <x:c r="A191" s="6"/>
      <x:c r="B191" s="6"/>
      <x:c r="C191" s="6"/>
      <x:c r="D191" s="6"/>
      <x:c r="E191" s="6"/>
      <x:c r="F191" s="6"/>
      <x:c r="G191" s="6"/>
      <x:c r="H191" s="6"/>
      <x:c r="I191" s="6"/>
      <x:c r="J191" s="6"/>
      <x:c r="K191" s="6"/>
      <x:c r="L191" s="6"/>
      <x:c r="M191" s="6"/>
      <x:c r="N191" s="6"/>
      <x:c r="O191" s="6"/>
      <x:c r="P191" s="6"/>
      <x:c r="Q191" s="6"/>
    </x:row>
    <x:row r="192" ht="19" customHeight="1">
      <x:c r="A192" s="6"/>
      <x:c r="B192" s="6"/>
      <x:c r="C192" s="6"/>
      <x:c r="D192" s="6"/>
      <x:c r="E192" s="6"/>
      <x:c r="F192" s="6"/>
      <x:c r="G192" s="6"/>
      <x:c r="H192" s="6"/>
      <x:c r="I192" s="6"/>
      <x:c r="J192" s="6"/>
      <x:c r="K192" s="6"/>
      <x:c r="L192" s="6"/>
      <x:c r="M192" s="6"/>
      <x:c r="N192" s="6"/>
      <x:c r="O192" s="6"/>
      <x:c r="P192" s="6"/>
      <x:c r="Q192" s="6"/>
    </x:row>
    <x:row r="193" ht="19" customHeight="1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  <x:c r="M193" s="6"/>
      <x:c r="N193" s="6"/>
      <x:c r="O193" s="6"/>
      <x:c r="P193" s="6"/>
      <x:c r="Q193" s="6"/>
    </x:row>
    <x:row r="194" ht="19" customHeight="1">
      <x:c r="A194" s="6"/>
      <x:c r="B194" s="6"/>
      <x:c r="C194" s="6"/>
      <x:c r="D194" s="6"/>
      <x:c r="E194" s="6"/>
      <x:c r="F194" s="6"/>
      <x:c r="G194" s="6"/>
      <x:c r="H194" s="6"/>
      <x:c r="I194" s="6"/>
      <x:c r="J194" s="6"/>
      <x:c r="K194" s="6"/>
      <x:c r="L194" s="6"/>
      <x:c r="M194" s="6"/>
      <x:c r="N194" s="6"/>
      <x:c r="O194" s="6"/>
      <x:c r="P194" s="6"/>
      <x:c r="Q194" s="6"/>
    </x:row>
    <x:row r="195" ht="19" customHeight="1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  <x:c r="M195" s="6"/>
      <x:c r="N195" s="6"/>
      <x:c r="O195" s="6"/>
      <x:c r="P195" s="6"/>
      <x:c r="Q195" s="6"/>
    </x:row>
    <x:row r="196" ht="19" customHeight="1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  <x:c r="K196" s="6"/>
      <x:c r="L196" s="6"/>
      <x:c r="M196" s="6"/>
      <x:c r="N196" s="6"/>
      <x:c r="O196" s="6"/>
      <x:c r="P196" s="6"/>
      <x:c r="Q196" s="6"/>
    </x:row>
    <x:row r="197" ht="19" customHeight="1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  <x:c r="K197" s="6"/>
      <x:c r="L197" s="6"/>
      <x:c r="M197" s="6"/>
      <x:c r="N197" s="6"/>
      <x:c r="O197" s="6"/>
      <x:c r="P197" s="6"/>
      <x:c r="Q197" s="6"/>
    </x:row>
    <x:row r="198" ht="19" customHeight="1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  <x:c r="K198" s="6"/>
      <x:c r="L198" s="6"/>
      <x:c r="M198" s="6"/>
      <x:c r="N198" s="6"/>
      <x:c r="O198" s="6"/>
      <x:c r="P198" s="6"/>
      <x:c r="Q198" s="6"/>
    </x:row>
    <x:row r="199" ht="19" customHeight="1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  <x:c r="K199" s="6"/>
      <x:c r="L199" s="6"/>
      <x:c r="M199" s="6"/>
      <x:c r="N199" s="6"/>
      <x:c r="O199" s="6"/>
      <x:c r="P199" s="6"/>
      <x:c r="Q199" s="6"/>
    </x:row>
    <x:row r="200" ht="19" customHeight="1">
      <x:c r="A200" s="6"/>
      <x:c r="B200" s="6"/>
      <x:c r="C200" s="6"/>
      <x:c r="D200" s="6"/>
      <x:c r="E200" s="6"/>
      <x:c r="F200" s="6"/>
      <x:c r="G200" s="6"/>
      <x:c r="H200" s="6"/>
      <x:c r="I200" s="6"/>
      <x:c r="J200" s="6"/>
      <x:c r="K200" s="6"/>
      <x:c r="L200" s="6"/>
      <x:c r="M200" s="6"/>
      <x:c r="N200" s="6"/>
      <x:c r="O200" s="6"/>
      <x:c r="P200" s="6"/>
      <x:c r="Q200" s="6"/>
    </x:row>
    <x:row r="201" ht="19" customHeight="1">
      <x:c r="A201" s="6"/>
      <x:c r="B201" s="6"/>
      <x:c r="C201" s="6"/>
      <x:c r="D201" s="6"/>
      <x:c r="E201" s="6"/>
      <x:c r="F201" s="6"/>
      <x:c r="G201" s="6"/>
      <x:c r="H201" s="6"/>
      <x:c r="I201" s="6"/>
      <x:c r="J201" s="6"/>
      <x:c r="K201" s="6"/>
      <x:c r="L201" s="6"/>
      <x:c r="M201" s="6"/>
      <x:c r="N201" s="6"/>
      <x:c r="O201" s="6"/>
      <x:c r="P201" s="6"/>
      <x:c r="Q201" s="6"/>
    </x:row>
    <x:row r="202" ht="19" customHeight="1">
      <x:c r="A202" s="6"/>
      <x:c r="B202" s="6"/>
      <x:c r="C202" s="6"/>
      <x:c r="D202" s="6"/>
      <x:c r="E202" s="6"/>
      <x:c r="F202" s="6"/>
      <x:c r="G202" s="6"/>
      <x:c r="H202" s="6"/>
      <x:c r="I202" s="6"/>
      <x:c r="J202" s="6"/>
      <x:c r="K202" s="6"/>
      <x:c r="L202" s="6"/>
      <x:c r="M202" s="6"/>
      <x:c r="N202" s="6"/>
      <x:c r="O202" s="6"/>
      <x:c r="P202" s="6"/>
      <x:c r="Q202" s="6"/>
    </x:row>
    <x:row r="203" ht="19" customHeight="1">
      <x:c r="A203" s="6"/>
      <x:c r="B203" s="6"/>
      <x:c r="C203" s="6"/>
      <x:c r="D203" s="6"/>
      <x:c r="E203" s="6"/>
      <x:c r="F203" s="6"/>
      <x:c r="G203" s="6"/>
      <x:c r="H203" s="6"/>
      <x:c r="I203" s="6"/>
      <x:c r="J203" s="6"/>
      <x:c r="K203" s="6"/>
      <x:c r="L203" s="6"/>
      <x:c r="M203" s="6"/>
      <x:c r="N203" s="6"/>
      <x:c r="O203" s="6"/>
      <x:c r="P203" s="6"/>
      <x:c r="Q203" s="6"/>
    </x:row>
    <x:row r="204" ht="19" customHeight="1">
      <x:c r="A204" s="6"/>
      <x:c r="B204" s="6"/>
      <x:c r="C204" s="6"/>
      <x:c r="D204" s="6"/>
      <x:c r="E204" s="6"/>
      <x:c r="F204" s="6"/>
      <x:c r="G204" s="6"/>
      <x:c r="H204" s="6"/>
      <x:c r="I204" s="6"/>
      <x:c r="J204" s="6"/>
      <x:c r="K204" s="6"/>
      <x:c r="L204" s="6"/>
      <x:c r="M204" s="6"/>
      <x:c r="N204" s="6"/>
      <x:c r="O204" s="6"/>
      <x:c r="P204" s="6"/>
      <x:c r="Q204" s="6"/>
    </x:row>
    <x:row r="205" ht="19" customHeight="1">
      <x:c r="A205" s="6"/>
      <x:c r="B205" s="6"/>
      <x:c r="C205" s="6"/>
      <x:c r="D205" s="6"/>
      <x:c r="E205" s="6"/>
      <x:c r="F205" s="6"/>
      <x:c r="G205" s="6"/>
      <x:c r="H205" s="6"/>
      <x:c r="I205" s="6"/>
      <x:c r="J205" s="6"/>
      <x:c r="K205" s="6"/>
      <x:c r="L205" s="6"/>
      <x:c r="M205" s="6"/>
      <x:c r="N205" s="6"/>
      <x:c r="O205" s="6"/>
      <x:c r="P205" s="6"/>
      <x:c r="Q205" s="6"/>
    </x:row>
    <x:row r="206" ht="19" customHeight="1">
      <x:c r="A206" s="6"/>
      <x:c r="B206" s="6"/>
      <x:c r="C206" s="6"/>
      <x:c r="D206" s="6"/>
      <x:c r="E206" s="6"/>
      <x:c r="F206" s="6"/>
      <x:c r="G206" s="6"/>
      <x:c r="H206" s="6"/>
      <x:c r="I206" s="6"/>
      <x:c r="J206" s="6"/>
      <x:c r="K206" s="6"/>
      <x:c r="L206" s="6"/>
      <x:c r="M206" s="6"/>
      <x:c r="N206" s="6"/>
      <x:c r="O206" s="6"/>
      <x:c r="P206" s="6"/>
      <x:c r="Q206" s="6"/>
    </x:row>
    <x:row r="207" ht="19" customHeight="1">
      <x:c r="A207" s="6"/>
      <x:c r="B207" s="6"/>
      <x:c r="C207" s="6"/>
      <x:c r="D207" s="6"/>
      <x:c r="E207" s="6"/>
      <x:c r="F207" s="6"/>
      <x:c r="G207" s="6"/>
      <x:c r="H207" s="6"/>
      <x:c r="I207" s="6"/>
      <x:c r="J207" s="6"/>
      <x:c r="K207" s="6"/>
      <x:c r="L207" s="6"/>
      <x:c r="M207" s="6"/>
      <x:c r="N207" s="6"/>
      <x:c r="O207" s="6"/>
      <x:c r="P207" s="6"/>
      <x:c r="Q207" s="6"/>
    </x:row>
    <x:row r="208" ht="19" customHeight="1">
      <x:c r="A208" s="6"/>
      <x:c r="B208" s="6"/>
      <x:c r="C208" s="6"/>
      <x:c r="D208" s="6"/>
      <x:c r="E208" s="6"/>
      <x:c r="F208" s="6"/>
      <x:c r="G208" s="6"/>
      <x:c r="H208" s="6"/>
      <x:c r="I208" s="6"/>
      <x:c r="J208" s="6"/>
      <x:c r="K208" s="6"/>
      <x:c r="L208" s="6"/>
      <x:c r="M208" s="6"/>
      <x:c r="N208" s="6"/>
      <x:c r="O208" s="6"/>
      <x:c r="P208" s="6"/>
      <x:c r="Q208" s="6"/>
    </x:row>
    <x:row r="209" ht="19" customHeight="1">
      <x:c r="A209" s="6"/>
      <x:c r="B209" s="6"/>
      <x:c r="C209" s="6"/>
      <x:c r="D209" s="6"/>
      <x:c r="E209" s="6"/>
      <x:c r="F209" s="6"/>
      <x:c r="G209" s="6"/>
      <x:c r="H209" s="6"/>
      <x:c r="I209" s="6"/>
      <x:c r="J209" s="6"/>
      <x:c r="K209" s="6"/>
      <x:c r="L209" s="6"/>
      <x:c r="M209" s="6"/>
      <x:c r="N209" s="6"/>
      <x:c r="O209" s="6"/>
      <x:c r="P209" s="6"/>
      <x:c r="Q209" s="6"/>
    </x:row>
    <x:row r="210" ht="19" customHeight="1">
      <x:c r="A210" s="6"/>
      <x:c r="B210" s="6"/>
      <x:c r="C210" s="6"/>
      <x:c r="D210" s="6"/>
      <x:c r="E210" s="6"/>
      <x:c r="F210" s="6"/>
      <x:c r="G210" s="6"/>
      <x:c r="H210" s="6"/>
      <x:c r="I210" s="6"/>
      <x:c r="J210" s="6"/>
      <x:c r="K210" s="6"/>
      <x:c r="L210" s="6"/>
      <x:c r="M210" s="6"/>
      <x:c r="N210" s="6"/>
      <x:c r="O210" s="6"/>
      <x:c r="P210" s="6"/>
      <x:c r="Q210" s="6"/>
    </x:row>
    <x:row r="211" ht="19" customHeight="1">
      <x:c r="A211" s="6"/>
      <x:c r="B211" s="6"/>
      <x:c r="C211" s="6"/>
      <x:c r="D211" s="6"/>
      <x:c r="E211" s="6"/>
      <x:c r="F211" s="6"/>
      <x:c r="G211" s="6"/>
      <x:c r="H211" s="6"/>
      <x:c r="I211" s="6"/>
      <x:c r="J211" s="6"/>
      <x:c r="K211" s="6"/>
      <x:c r="L211" s="6"/>
      <x:c r="M211" s="6"/>
      <x:c r="N211" s="6"/>
      <x:c r="O211" s="6"/>
      <x:c r="P211" s="6"/>
      <x:c r="Q211" s="6"/>
    </x:row>
    <x:row r="212" ht="19" customHeight="1">
      <x:c r="A212" s="6"/>
      <x:c r="B212" s="6"/>
      <x:c r="C212" s="6"/>
      <x:c r="D212" s="6"/>
      <x:c r="E212" s="6"/>
      <x:c r="F212" s="6"/>
      <x:c r="G212" s="6"/>
      <x:c r="H212" s="6"/>
      <x:c r="I212" s="6"/>
      <x:c r="J212" s="6"/>
      <x:c r="K212" s="6"/>
      <x:c r="L212" s="6"/>
      <x:c r="M212" s="6"/>
      <x:c r="N212" s="6"/>
      <x:c r="O212" s="6"/>
      <x:c r="P212" s="6"/>
      <x:c r="Q212" s="6"/>
    </x:row>
    <x:row r="213" ht="19" customHeight="1">
      <x:c r="A213" s="6"/>
      <x:c r="B213" s="6"/>
      <x:c r="C213" s="6"/>
      <x:c r="D213" s="6"/>
      <x:c r="E213" s="6"/>
      <x:c r="F213" s="6"/>
      <x:c r="G213" s="6"/>
      <x:c r="H213" s="6"/>
      <x:c r="I213" s="6"/>
      <x:c r="J213" s="6"/>
      <x:c r="K213" s="6"/>
      <x:c r="L213" s="6"/>
      <x:c r="M213" s="6"/>
      <x:c r="N213" s="6"/>
      <x:c r="O213" s="6"/>
      <x:c r="P213" s="6"/>
      <x:c r="Q213" s="6"/>
    </x:row>
    <x:row r="214" ht="19" customHeight="1">
      <x:c r="A214" s="6"/>
      <x:c r="B214" s="6"/>
      <x:c r="C214" s="6"/>
      <x:c r="D214" s="6"/>
      <x:c r="E214" s="6"/>
      <x:c r="F214" s="6"/>
      <x:c r="G214" s="6"/>
      <x:c r="H214" s="6"/>
      <x:c r="I214" s="6"/>
      <x:c r="J214" s="6"/>
      <x:c r="K214" s="6"/>
      <x:c r="L214" s="6"/>
      <x:c r="M214" s="6"/>
      <x:c r="N214" s="6"/>
      <x:c r="O214" s="6"/>
      <x:c r="P214" s="6"/>
      <x:c r="Q214" s="6"/>
    </x:row>
    <x:row r="215" ht="19" customHeight="1">
      <x:c r="A215" s="6"/>
      <x:c r="B215" s="6"/>
      <x:c r="C215" s="6"/>
      <x:c r="D215" s="6"/>
      <x:c r="E215" s="6"/>
      <x:c r="F215" s="6"/>
      <x:c r="G215" s="6"/>
      <x:c r="H215" s="6"/>
      <x:c r="I215" s="6"/>
      <x:c r="J215" s="6"/>
      <x:c r="K215" s="6"/>
      <x:c r="L215" s="6"/>
      <x:c r="M215" s="6"/>
      <x:c r="N215" s="6"/>
      <x:c r="O215" s="6"/>
      <x:c r="P215" s="6"/>
      <x:c r="Q215" s="6"/>
    </x:row>
    <x:row r="216" ht="19" customHeight="1">
      <x:c r="A216" s="6"/>
      <x:c r="B216" s="6"/>
      <x:c r="C216" s="6"/>
      <x:c r="D216" s="6"/>
      <x:c r="E216" s="6"/>
      <x:c r="F216" s="6"/>
      <x:c r="G216" s="6"/>
      <x:c r="H216" s="6"/>
      <x:c r="I216" s="6"/>
      <x:c r="J216" s="6"/>
      <x:c r="K216" s="6"/>
      <x:c r="L216" s="6"/>
      <x:c r="M216" s="6"/>
      <x:c r="N216" s="6"/>
      <x:c r="O216" s="6"/>
      <x:c r="P216" s="6"/>
      <x:c r="Q216" s="6"/>
    </x:row>
    <x:row r="217" ht="19" customHeight="1">
      <x:c r="A217" s="6"/>
      <x:c r="B217" s="6"/>
      <x:c r="C217" s="6"/>
      <x:c r="D217" s="6"/>
      <x:c r="E217" s="6"/>
      <x:c r="F217" s="6"/>
      <x:c r="G217" s="6"/>
      <x:c r="H217" s="6"/>
      <x:c r="I217" s="6"/>
      <x:c r="J217" s="6"/>
      <x:c r="K217" s="6"/>
      <x:c r="L217" s="6"/>
      <x:c r="M217" s="6"/>
      <x:c r="N217" s="6"/>
      <x:c r="O217" s="6"/>
      <x:c r="P217" s="6"/>
      <x:c r="Q217" s="6"/>
    </x:row>
    <x:row r="218" ht="19" customHeight="1">
      <x:c r="A218" s="6"/>
      <x:c r="B218" s="6"/>
      <x:c r="C218" s="6"/>
      <x:c r="D218" s="6"/>
      <x:c r="E218" s="6"/>
      <x:c r="F218" s="6"/>
      <x:c r="G218" s="6"/>
      <x:c r="H218" s="6"/>
      <x:c r="I218" s="6"/>
      <x:c r="J218" s="6"/>
      <x:c r="K218" s="6"/>
      <x:c r="L218" s="6"/>
      <x:c r="M218" s="6"/>
      <x:c r="N218" s="6"/>
      <x:c r="O218" s="6"/>
      <x:c r="P218" s="6"/>
      <x:c r="Q218" s="6"/>
    </x:row>
    <x:row r="219" ht="19" customHeight="1">
      <x:c r="A219" s="6"/>
      <x:c r="B219" s="6"/>
      <x:c r="C219" s="6"/>
      <x:c r="D219" s="6"/>
      <x:c r="E219" s="6"/>
      <x:c r="F219" s="6"/>
      <x:c r="G219" s="6"/>
      <x:c r="H219" s="6"/>
      <x:c r="I219" s="6"/>
      <x:c r="J219" s="6"/>
      <x:c r="K219" s="6"/>
      <x:c r="L219" s="6"/>
      <x:c r="M219" s="6"/>
      <x:c r="N219" s="6"/>
      <x:c r="O219" s="6"/>
      <x:c r="P219" s="6"/>
      <x:c r="Q219" s="6"/>
    </x:row>
    <x:row r="220" ht="19" customHeight="1">
      <x:c r="A220" s="6"/>
      <x:c r="B220" s="6"/>
      <x:c r="C220" s="6"/>
      <x:c r="D220" s="6"/>
      <x:c r="E220" s="6"/>
      <x:c r="F220" s="6"/>
      <x:c r="G220" s="6"/>
      <x:c r="H220" s="6"/>
      <x:c r="I220" s="6"/>
      <x:c r="J220" s="6"/>
      <x:c r="K220" s="6"/>
      <x:c r="L220" s="6"/>
      <x:c r="M220" s="6"/>
      <x:c r="N220" s="6"/>
      <x:c r="O220" s="6"/>
      <x:c r="P220" s="6"/>
      <x:c r="Q220" s="6"/>
    </x:row>
    <x:row r="221" ht="19" customHeight="1">
      <x:c r="A221" s="6"/>
      <x:c r="B221" s="6"/>
      <x:c r="C221" s="6"/>
      <x:c r="D221" s="6"/>
      <x:c r="E221" s="6"/>
      <x:c r="F221" s="6"/>
      <x:c r="G221" s="6"/>
      <x:c r="H221" s="6"/>
      <x:c r="I221" s="6"/>
      <x:c r="J221" s="6"/>
      <x:c r="K221" s="6"/>
      <x:c r="L221" s="6"/>
      <x:c r="M221" s="6"/>
      <x:c r="N221" s="6"/>
      <x:c r="O221" s="6"/>
      <x:c r="P221" s="6"/>
      <x:c r="Q221" s="6"/>
    </x:row>
    <x:row r="222" ht="19" customHeight="1">
      <x:c r="A222" s="6"/>
      <x:c r="B222" s="6"/>
      <x:c r="C222" s="6"/>
      <x:c r="D222" s="6"/>
      <x:c r="E222" s="6"/>
      <x:c r="F222" s="6"/>
      <x:c r="G222" s="6"/>
      <x:c r="H222" s="6"/>
      <x:c r="I222" s="6"/>
      <x:c r="J222" s="6"/>
      <x:c r="K222" s="6"/>
      <x:c r="L222" s="6"/>
      <x:c r="M222" s="6"/>
      <x:c r="N222" s="6"/>
      <x:c r="O222" s="6"/>
      <x:c r="P222" s="6"/>
      <x:c r="Q222" s="6"/>
    </x:row>
    <x:row r="223" ht="19" customHeight="1">
      <x:c r="A223" s="6"/>
      <x:c r="B223" s="6"/>
      <x:c r="C223" s="6"/>
      <x:c r="D223" s="6"/>
      <x:c r="E223" s="6"/>
      <x:c r="F223" s="6"/>
      <x:c r="G223" s="6"/>
      <x:c r="H223" s="6"/>
      <x:c r="I223" s="6"/>
      <x:c r="J223" s="6"/>
      <x:c r="K223" s="6"/>
      <x:c r="L223" s="6"/>
      <x:c r="M223" s="6"/>
      <x:c r="N223" s="6"/>
      <x:c r="O223" s="6"/>
      <x:c r="P223" s="6"/>
      <x:c r="Q223" s="6"/>
    </x:row>
    <x:row r="224" ht="19" customHeight="1">
      <x:c r="A224" s="6"/>
      <x:c r="B224" s="6"/>
      <x:c r="C224" s="6"/>
      <x:c r="D224" s="6"/>
      <x:c r="E224" s="6"/>
      <x:c r="F224" s="6"/>
      <x:c r="G224" s="6"/>
      <x:c r="H224" s="6"/>
      <x:c r="I224" s="6"/>
      <x:c r="J224" s="6"/>
      <x:c r="K224" s="6"/>
      <x:c r="L224" s="6"/>
      <x:c r="M224" s="6"/>
      <x:c r="N224" s="6"/>
      <x:c r="O224" s="6"/>
      <x:c r="P224" s="6"/>
      <x:c r="Q224" s="6"/>
    </x:row>
    <x:row r="225" ht="19" customHeight="1">
      <x:c r="A225" s="6"/>
      <x:c r="B225" s="6"/>
      <x:c r="C225" s="6"/>
      <x:c r="D225" s="6"/>
      <x:c r="E225" s="6"/>
      <x:c r="F225" s="6"/>
      <x:c r="G225" s="6"/>
      <x:c r="H225" s="6"/>
      <x:c r="I225" s="6"/>
      <x:c r="J225" s="6"/>
      <x:c r="K225" s="6"/>
      <x:c r="L225" s="6"/>
      <x:c r="M225" s="6"/>
      <x:c r="N225" s="6"/>
      <x:c r="O225" s="6"/>
      <x:c r="P225" s="6"/>
      <x:c r="Q225" s="6"/>
    </x:row>
    <x:row r="226" ht="19" customHeight="1">
      <x:c r="A226" s="6"/>
      <x:c r="B226" s="6"/>
      <x:c r="C226" s="6"/>
      <x:c r="D226" s="6"/>
      <x:c r="E226" s="6"/>
      <x:c r="F226" s="6"/>
      <x:c r="G226" s="6"/>
      <x:c r="H226" s="6"/>
      <x:c r="I226" s="6"/>
      <x:c r="J226" s="6"/>
      <x:c r="K226" s="6"/>
      <x:c r="L226" s="6"/>
      <x:c r="M226" s="6"/>
      <x:c r="N226" s="6"/>
      <x:c r="O226" s="6"/>
      <x:c r="P226" s="6"/>
      <x:c r="Q226" s="6"/>
    </x:row>
    <x:row r="227" ht="19" customHeight="1">
      <x:c r="A227" s="6"/>
      <x:c r="B227" s="6"/>
      <x:c r="C227" s="6"/>
      <x:c r="D227" s="6"/>
      <x:c r="E227" s="6"/>
      <x:c r="F227" s="6"/>
      <x:c r="G227" s="6"/>
      <x:c r="H227" s="6"/>
      <x:c r="I227" s="6"/>
      <x:c r="J227" s="6"/>
      <x:c r="K227" s="6"/>
      <x:c r="L227" s="6"/>
      <x:c r="M227" s="6"/>
      <x:c r="N227" s="6"/>
      <x:c r="O227" s="6"/>
      <x:c r="P227" s="6"/>
      <x:c r="Q227" s="6"/>
    </x:row>
    <x:row r="228" ht="19" customHeight="1">
      <x:c r="A228" s="6"/>
      <x:c r="B228" s="6"/>
      <x:c r="C228" s="6"/>
      <x:c r="D228" s="6"/>
      <x:c r="E228" s="6"/>
      <x:c r="F228" s="6"/>
      <x:c r="G228" s="6"/>
      <x:c r="H228" s="6"/>
      <x:c r="I228" s="6"/>
      <x:c r="J228" s="6"/>
      <x:c r="K228" s="6"/>
      <x:c r="L228" s="6"/>
      <x:c r="M228" s="6"/>
      <x:c r="N228" s="6"/>
      <x:c r="O228" s="6"/>
      <x:c r="P228" s="6"/>
      <x:c r="Q228" s="6"/>
    </x:row>
    <x:row r="229" ht="19" customHeight="1">
      <x:c r="A229" s="6"/>
      <x:c r="B229" s="6"/>
      <x:c r="C229" s="6"/>
      <x:c r="D229" s="6"/>
      <x:c r="E229" s="6"/>
      <x:c r="F229" s="6"/>
      <x:c r="G229" s="6"/>
      <x:c r="H229" s="6"/>
      <x:c r="I229" s="6"/>
      <x:c r="J229" s="6"/>
      <x:c r="K229" s="6"/>
      <x:c r="L229" s="6"/>
      <x:c r="M229" s="6"/>
      <x:c r="N229" s="6"/>
      <x:c r="O229" s="6"/>
      <x:c r="P229" s="6"/>
      <x:c r="Q229" s="6"/>
    </x:row>
    <x:row r="230" ht="19" customHeight="1">
      <x:c r="A230" s="6"/>
      <x:c r="B230" s="6"/>
      <x:c r="C230" s="6"/>
      <x:c r="D230" s="6"/>
      <x:c r="E230" s="6"/>
      <x:c r="F230" s="6"/>
      <x:c r="G230" s="6"/>
      <x:c r="H230" s="6"/>
      <x:c r="I230" s="6"/>
      <x:c r="J230" s="6"/>
      <x:c r="K230" s="6"/>
      <x:c r="L230" s="6"/>
      <x:c r="M230" s="6"/>
      <x:c r="N230" s="6"/>
      <x:c r="O230" s="6"/>
      <x:c r="P230" s="6"/>
      <x:c r="Q230" s="6"/>
    </x:row>
    <x:row r="231" ht="19" customHeight="1">
      <x:c r="A231" s="6"/>
      <x:c r="B231" s="6"/>
      <x:c r="C231" s="6"/>
      <x:c r="D231" s="6"/>
      <x:c r="E231" s="6"/>
      <x:c r="F231" s="6"/>
      <x:c r="G231" s="6"/>
      <x:c r="H231" s="6"/>
      <x:c r="I231" s="6"/>
      <x:c r="J231" s="6"/>
      <x:c r="K231" s="6"/>
      <x:c r="L231" s="6"/>
      <x:c r="M231" s="6"/>
      <x:c r="N231" s="6"/>
      <x:c r="O231" s="6"/>
      <x:c r="P231" s="6"/>
      <x:c r="Q231" s="6"/>
    </x:row>
    <x:row r="232" ht="19" customHeight="1">
      <x:c r="A232" s="6"/>
      <x:c r="B232" s="6"/>
      <x:c r="C232" s="6"/>
      <x:c r="D232" s="6"/>
      <x:c r="E232" s="6"/>
      <x:c r="F232" s="6"/>
      <x:c r="G232" s="6"/>
      <x:c r="H232" s="6"/>
      <x:c r="I232" s="6"/>
      <x:c r="J232" s="6"/>
      <x:c r="K232" s="6"/>
      <x:c r="L232" s="6"/>
      <x:c r="M232" s="6"/>
      <x:c r="N232" s="6"/>
      <x:c r="O232" s="6"/>
      <x:c r="P232" s="6"/>
      <x:c r="Q232" s="6"/>
    </x:row>
    <x:row r="233" ht="19" customHeight="1">
      <x:c r="A233" s="6"/>
      <x:c r="B233" s="6"/>
      <x:c r="C233" s="6"/>
      <x:c r="D233" s="6"/>
      <x:c r="E233" s="6"/>
      <x:c r="F233" s="6"/>
      <x:c r="G233" s="6"/>
      <x:c r="H233" s="6"/>
      <x:c r="I233" s="6"/>
      <x:c r="J233" s="6"/>
      <x:c r="K233" s="6"/>
      <x:c r="L233" s="6"/>
      <x:c r="M233" s="6"/>
      <x:c r="N233" s="6"/>
      <x:c r="O233" s="6"/>
      <x:c r="P233" s="6"/>
      <x:c r="Q233" s="6"/>
    </x:row>
    <x:row r="234" ht="19" customHeight="1">
      <x:c r="A234" s="6"/>
      <x:c r="B234" s="6"/>
      <x:c r="C234" s="6"/>
      <x:c r="D234" s="6"/>
      <x:c r="E234" s="6"/>
      <x:c r="F234" s="6"/>
      <x:c r="G234" s="6"/>
      <x:c r="H234" s="6"/>
      <x:c r="I234" s="6"/>
      <x:c r="J234" s="6"/>
      <x:c r="K234" s="6"/>
      <x:c r="L234" s="6"/>
      <x:c r="M234" s="6"/>
      <x:c r="N234" s="6"/>
      <x:c r="O234" s="6"/>
      <x:c r="P234" s="6"/>
      <x:c r="Q234" s="6"/>
    </x:row>
    <x:row r="235" ht="19" customHeight="1">
      <x:c r="A235" s="6"/>
      <x:c r="B235" s="6"/>
      <x:c r="C235" s="6"/>
      <x:c r="D235" s="6"/>
      <x:c r="E235" s="6"/>
      <x:c r="F235" s="6"/>
      <x:c r="G235" s="6"/>
      <x:c r="H235" s="6"/>
      <x:c r="I235" s="6"/>
      <x:c r="J235" s="6"/>
      <x:c r="K235" s="6"/>
      <x:c r="L235" s="6"/>
      <x:c r="M235" s="6"/>
      <x:c r="N235" s="6"/>
      <x:c r="O235" s="6"/>
      <x:c r="P235" s="6"/>
      <x:c r="Q235" s="6"/>
    </x:row>
    <x:row r="236" ht="19" customHeight="1">
      <x:c r="A236" s="6"/>
      <x:c r="B236" s="6"/>
      <x:c r="C236" s="6"/>
      <x:c r="D236" s="6"/>
      <x:c r="E236" s="6"/>
      <x:c r="F236" s="6"/>
      <x:c r="G236" s="6"/>
      <x:c r="H236" s="6"/>
      <x:c r="I236" s="6"/>
      <x:c r="J236" s="6"/>
      <x:c r="K236" s="6"/>
      <x:c r="L236" s="6"/>
      <x:c r="M236" s="6"/>
      <x:c r="N236" s="6"/>
      <x:c r="O236" s="6"/>
      <x:c r="P236" s="6"/>
      <x:c r="Q236" s="6"/>
    </x:row>
    <x:row r="237" ht="19" customHeight="1">
      <x:c r="A237" s="6"/>
      <x:c r="B237" s="6"/>
      <x:c r="C237" s="6"/>
      <x:c r="D237" s="6"/>
      <x:c r="E237" s="6"/>
      <x:c r="F237" s="6"/>
      <x:c r="G237" s="6"/>
      <x:c r="H237" s="6"/>
      <x:c r="I237" s="6"/>
      <x:c r="J237" s="6"/>
      <x:c r="K237" s="6"/>
      <x:c r="L237" s="6"/>
      <x:c r="M237" s="6"/>
      <x:c r="N237" s="6"/>
      <x:c r="O237" s="6"/>
      <x:c r="P237" s="6"/>
      <x:c r="Q237" s="6"/>
    </x:row>
    <x:row r="238" ht="19" customHeight="1">
      <x:c r="A238" s="6"/>
      <x:c r="B238" s="6"/>
      <x:c r="C238" s="6"/>
      <x:c r="D238" s="6"/>
      <x:c r="E238" s="6"/>
      <x:c r="F238" s="6"/>
      <x:c r="G238" s="6"/>
      <x:c r="H238" s="6"/>
      <x:c r="I238" s="6"/>
      <x:c r="J238" s="6"/>
      <x:c r="K238" s="6"/>
      <x:c r="L238" s="6"/>
      <x:c r="M238" s="6"/>
      <x:c r="N238" s="6"/>
      <x:c r="O238" s="6"/>
      <x:c r="P238" s="6"/>
      <x:c r="Q238" s="6"/>
    </x:row>
    <x:row r="239" ht="19" customHeight="1">
      <x:c r="A239" s="6"/>
      <x:c r="B239" s="6"/>
      <x:c r="C239" s="6"/>
      <x:c r="D239" s="6"/>
      <x:c r="E239" s="6"/>
      <x:c r="F239" s="6"/>
      <x:c r="G239" s="6"/>
      <x:c r="H239" s="6"/>
      <x:c r="I239" s="6"/>
      <x:c r="J239" s="6"/>
      <x:c r="K239" s="6"/>
      <x:c r="L239" s="6"/>
      <x:c r="M239" s="6"/>
      <x:c r="N239" s="6"/>
      <x:c r="O239" s="6"/>
      <x:c r="P239" s="6"/>
      <x:c r="Q239" s="6"/>
    </x:row>
    <x:row r="240" ht="19" customHeight="1">
      <x:c r="A240" s="6"/>
      <x:c r="B240" s="6"/>
      <x:c r="C240" s="6"/>
      <x:c r="D240" s="6"/>
      <x:c r="E240" s="6"/>
      <x:c r="F240" s="6"/>
      <x:c r="G240" s="6"/>
      <x:c r="H240" s="6"/>
      <x:c r="I240" s="6"/>
      <x:c r="J240" s="6"/>
      <x:c r="K240" s="6"/>
      <x:c r="L240" s="6"/>
      <x:c r="M240" s="6"/>
      <x:c r="N240" s="6"/>
      <x:c r="O240" s="6"/>
      <x:c r="P240" s="6"/>
      <x:c r="Q240" s="6"/>
    </x:row>
    <x:row r="241" ht="19" customHeight="1">
      <x:c r="A241" s="6"/>
      <x:c r="B241" s="6"/>
      <x:c r="C241" s="6"/>
      <x:c r="D241" s="6"/>
      <x:c r="E241" s="6"/>
      <x:c r="F241" s="6"/>
      <x:c r="G241" s="6"/>
      <x:c r="H241" s="6"/>
      <x:c r="I241" s="6"/>
      <x:c r="J241" s="6"/>
      <x:c r="K241" s="6"/>
      <x:c r="L241" s="6"/>
      <x:c r="M241" s="6"/>
      <x:c r="N241" s="6"/>
      <x:c r="O241" s="6"/>
      <x:c r="P241" s="6"/>
      <x:c r="Q241" s="6"/>
    </x:row>
    <x:row r="242" ht="19" customHeight="1">
      <x:c r="A242" s="6"/>
      <x:c r="B242" s="6"/>
      <x:c r="C242" s="6"/>
      <x:c r="D242" s="6"/>
      <x:c r="E242" s="6"/>
      <x:c r="F242" s="6"/>
      <x:c r="G242" s="6"/>
      <x:c r="H242" s="6"/>
      <x:c r="I242" s="6"/>
      <x:c r="J242" s="6"/>
      <x:c r="K242" s="6"/>
      <x:c r="L242" s="6"/>
      <x:c r="M242" s="6"/>
      <x:c r="N242" s="6"/>
      <x:c r="O242" s="6"/>
      <x:c r="P242" s="6"/>
      <x:c r="Q242" s="6"/>
    </x:row>
    <x:row r="243" ht="19" customHeight="1">
      <x:c r="A243" s="6"/>
      <x:c r="B243" s="6"/>
      <x:c r="C243" s="6"/>
      <x:c r="D243" s="6"/>
      <x:c r="E243" s="6"/>
      <x:c r="F243" s="6"/>
      <x:c r="G243" s="6"/>
      <x:c r="H243" s="6"/>
      <x:c r="I243" s="6"/>
      <x:c r="J243" s="6"/>
      <x:c r="K243" s="6"/>
      <x:c r="L243" s="6"/>
      <x:c r="M243" s="6"/>
      <x:c r="N243" s="6"/>
      <x:c r="O243" s="6"/>
      <x:c r="P243" s="6"/>
      <x:c r="Q243" s="6"/>
    </x:row>
    <x:row r="244" ht="19" customHeight="1">
      <x:c r="A244" s="6"/>
      <x:c r="B244" s="6"/>
      <x:c r="C244" s="6"/>
      <x:c r="D244" s="6"/>
      <x:c r="E244" s="6"/>
      <x:c r="F244" s="6"/>
      <x:c r="G244" s="6"/>
      <x:c r="H244" s="6"/>
      <x:c r="I244" s="6"/>
      <x:c r="J244" s="6"/>
      <x:c r="K244" s="6"/>
      <x:c r="L244" s="6"/>
      <x:c r="M244" s="6"/>
      <x:c r="N244" s="6"/>
      <x:c r="O244" s="6"/>
      <x:c r="P244" s="6"/>
      <x:c r="Q244" s="6"/>
    </x:row>
    <x:row r="245" ht="19" customHeight="1">
      <x:c r="A245" s="6"/>
      <x:c r="B245" s="6"/>
      <x:c r="C245" s="6"/>
      <x:c r="D245" s="6"/>
      <x:c r="E245" s="6"/>
      <x:c r="F245" s="6"/>
      <x:c r="G245" s="6"/>
      <x:c r="H245" s="6"/>
      <x:c r="I245" s="6"/>
      <x:c r="J245" s="6"/>
      <x:c r="K245" s="6"/>
      <x:c r="L245" s="6"/>
      <x:c r="M245" s="6"/>
      <x:c r="N245" s="6"/>
      <x:c r="O245" s="6"/>
      <x:c r="P245" s="6"/>
      <x:c r="Q245" s="6"/>
    </x:row>
    <x:row r="246" ht="19" customHeight="1">
      <x:c r="A246" s="6"/>
      <x:c r="B246" s="6"/>
      <x:c r="C246" s="6"/>
      <x:c r="D246" s="6"/>
      <x:c r="E246" s="6"/>
      <x:c r="F246" s="6"/>
      <x:c r="G246" s="6"/>
      <x:c r="H246" s="6"/>
      <x:c r="I246" s="6"/>
      <x:c r="J246" s="6"/>
      <x:c r="K246" s="6"/>
      <x:c r="L246" s="6"/>
      <x:c r="M246" s="6"/>
      <x:c r="N246" s="6"/>
      <x:c r="O246" s="6"/>
      <x:c r="P246" s="6"/>
      <x:c r="Q246" s="6"/>
    </x:row>
    <x:row r="247" ht="19" customHeight="1">
      <x:c r="A247" s="6"/>
      <x:c r="B247" s="6"/>
      <x:c r="C247" s="6"/>
      <x:c r="D247" s="6"/>
      <x:c r="E247" s="6"/>
      <x:c r="F247" s="6"/>
      <x:c r="G247" s="6"/>
      <x:c r="H247" s="6"/>
      <x:c r="I247" s="6"/>
      <x:c r="J247" s="6"/>
      <x:c r="K247" s="6"/>
      <x:c r="L247" s="6"/>
      <x:c r="M247" s="6"/>
      <x:c r="N247" s="6"/>
      <x:c r="O247" s="6"/>
      <x:c r="P247" s="6"/>
      <x:c r="Q247" s="6"/>
    </x:row>
    <x:row r="248" ht="19" customHeight="1">
      <x:c r="A248" s="6"/>
      <x:c r="B248" s="6"/>
      <x:c r="C248" s="6"/>
      <x:c r="D248" s="6"/>
      <x:c r="E248" s="6"/>
      <x:c r="F248" s="6"/>
      <x:c r="G248" s="6"/>
      <x:c r="H248" s="6"/>
      <x:c r="I248" s="6"/>
      <x:c r="J248" s="6"/>
      <x:c r="K248" s="6"/>
      <x:c r="L248" s="6"/>
      <x:c r="M248" s="6"/>
      <x:c r="N248" s="6"/>
      <x:c r="O248" s="6"/>
      <x:c r="P248" s="6"/>
      <x:c r="Q248" s="6"/>
    </x:row>
    <x:row r="249" ht="19" customHeight="1">
      <x:c r="A249" s="6"/>
      <x:c r="B249" s="6"/>
      <x:c r="C249" s="6"/>
      <x:c r="D249" s="6"/>
      <x:c r="E249" s="6"/>
      <x:c r="F249" s="6"/>
      <x:c r="G249" s="6"/>
      <x:c r="H249" s="6"/>
      <x:c r="I249" s="6"/>
      <x:c r="J249" s="6"/>
      <x:c r="K249" s="6"/>
      <x:c r="L249" s="6"/>
      <x:c r="M249" s="6"/>
      <x:c r="N249" s="6"/>
      <x:c r="O249" s="6"/>
      <x:c r="P249" s="6"/>
      <x:c r="Q249" s="6"/>
    </x:row>
    <x:row r="250" ht="19" customHeight="1">
      <x:c r="A250" s="6"/>
      <x:c r="B250" s="6"/>
      <x:c r="C250" s="6"/>
      <x:c r="D250" s="6"/>
      <x:c r="E250" s="6"/>
      <x:c r="F250" s="6"/>
      <x:c r="G250" s="6"/>
      <x:c r="H250" s="6"/>
      <x:c r="I250" s="6"/>
      <x:c r="J250" s="6"/>
      <x:c r="K250" s="6"/>
      <x:c r="L250" s="6"/>
      <x:c r="M250" s="6"/>
      <x:c r="N250" s="6"/>
      <x:c r="O250" s="6"/>
      <x:c r="P250" s="6"/>
      <x:c r="Q250" s="6"/>
    </x:row>
    <x:row r="251" ht="19" customHeight="1">
      <x:c r="A251" s="6"/>
      <x:c r="B251" s="6"/>
      <x:c r="C251" s="6"/>
      <x:c r="D251" s="6"/>
      <x:c r="E251" s="6"/>
      <x:c r="F251" s="6"/>
      <x:c r="G251" s="6"/>
      <x:c r="H251" s="6"/>
      <x:c r="I251" s="6"/>
      <x:c r="J251" s="6"/>
      <x:c r="K251" s="6"/>
      <x:c r="L251" s="6"/>
      <x:c r="M251" s="6"/>
      <x:c r="N251" s="6"/>
      <x:c r="O251" s="6"/>
      <x:c r="P251" s="6"/>
      <x:c r="Q251" s="6"/>
    </x:row>
    <x:row r="252" ht="19" customHeight="1">
      <x:c r="A252" s="6"/>
      <x:c r="B252" s="6"/>
      <x:c r="C252" s="6"/>
      <x:c r="D252" s="6"/>
      <x:c r="E252" s="6"/>
      <x:c r="F252" s="6"/>
      <x:c r="G252" s="6"/>
      <x:c r="H252" s="6"/>
      <x:c r="I252" s="6"/>
      <x:c r="J252" s="6"/>
      <x:c r="K252" s="6"/>
      <x:c r="L252" s="6"/>
      <x:c r="M252" s="6"/>
      <x:c r="N252" s="6"/>
      <x:c r="O252" s="6"/>
      <x:c r="P252" s="6"/>
      <x:c r="Q252" s="6"/>
    </x:row>
    <x:row r="253" ht="19" customHeight="1">
      <x:c r="A253" s="6"/>
      <x:c r="B253" s="6"/>
      <x:c r="C253" s="6"/>
      <x:c r="D253" s="6"/>
      <x:c r="E253" s="6"/>
      <x:c r="F253" s="6"/>
      <x:c r="G253" s="6"/>
      <x:c r="H253" s="6"/>
      <x:c r="I253" s="6"/>
      <x:c r="J253" s="6"/>
      <x:c r="K253" s="6"/>
      <x:c r="L253" s="6"/>
      <x:c r="M253" s="6"/>
      <x:c r="N253" s="6"/>
      <x:c r="O253" s="6"/>
      <x:c r="P253" s="6"/>
      <x:c r="Q253" s="6"/>
    </x:row>
    <x:row r="254" ht="19" customHeight="1">
      <x:c r="A254" s="6"/>
      <x:c r="B254" s="6"/>
      <x:c r="C254" s="6"/>
      <x:c r="D254" s="6"/>
      <x:c r="E254" s="6"/>
      <x:c r="F254" s="6"/>
      <x:c r="G254" s="6"/>
      <x:c r="H254" s="6"/>
      <x:c r="I254" s="6"/>
      <x:c r="J254" s="6"/>
      <x:c r="K254" s="6"/>
      <x:c r="L254" s="6"/>
      <x:c r="M254" s="6"/>
      <x:c r="N254" s="6"/>
      <x:c r="O254" s="6"/>
      <x:c r="P254" s="6"/>
      <x:c r="Q254" s="6"/>
    </x:row>
    <x:row r="255" ht="19" customHeight="1">
      <x:c r="A255" s="6"/>
      <x:c r="B255" s="6"/>
      <x:c r="C255" s="6"/>
      <x:c r="D255" s="6"/>
      <x:c r="E255" s="6"/>
      <x:c r="F255" s="6"/>
      <x:c r="G255" s="6"/>
      <x:c r="H255" s="6"/>
      <x:c r="I255" s="6"/>
      <x:c r="J255" s="6"/>
      <x:c r="K255" s="6"/>
      <x:c r="L255" s="6"/>
      <x:c r="M255" s="6"/>
      <x:c r="N255" s="6"/>
      <x:c r="O255" s="6"/>
      <x:c r="P255" s="6"/>
      <x:c r="Q255" s="6"/>
    </x:row>
    <x:row r="256" ht="19" customHeight="1">
      <x:c r="A256" s="6"/>
      <x:c r="B256" s="6"/>
      <x:c r="C256" s="6"/>
      <x:c r="D256" s="6"/>
      <x:c r="E256" s="6"/>
      <x:c r="F256" s="6"/>
      <x:c r="G256" s="6"/>
      <x:c r="H256" s="6"/>
      <x:c r="I256" s="6"/>
      <x:c r="J256" s="6"/>
      <x:c r="K256" s="6"/>
      <x:c r="L256" s="6"/>
      <x:c r="M256" s="6"/>
      <x:c r="N256" s="6"/>
      <x:c r="O256" s="6"/>
      <x:c r="P256" s="6"/>
      <x:c r="Q256" s="6"/>
    </x:row>
    <x:row r="257" ht="19" customHeight="1">
      <x:c r="A257" s="6"/>
      <x:c r="B257" s="6"/>
      <x:c r="C257" s="6"/>
      <x:c r="D257" s="6"/>
      <x:c r="E257" s="6"/>
      <x:c r="F257" s="6"/>
      <x:c r="G257" s="6"/>
      <x:c r="H257" s="6"/>
      <x:c r="I257" s="6"/>
      <x:c r="J257" s="6"/>
      <x:c r="K257" s="6"/>
      <x:c r="L257" s="6"/>
      <x:c r="M257" s="6"/>
      <x:c r="N257" s="6"/>
      <x:c r="O257" s="6"/>
      <x:c r="P257" s="6"/>
      <x:c r="Q257" s="6"/>
    </x:row>
    <x:row r="258" ht="19" customHeight="1">
      <x:c r="A258" s="6"/>
      <x:c r="B258" s="6"/>
      <x:c r="C258" s="6"/>
      <x:c r="D258" s="6"/>
      <x:c r="E258" s="6"/>
      <x:c r="F258" s="6"/>
      <x:c r="G258" s="6"/>
      <x:c r="H258" s="6"/>
      <x:c r="I258" s="6"/>
      <x:c r="J258" s="6"/>
      <x:c r="K258" s="6"/>
      <x:c r="L258" s="6"/>
      <x:c r="M258" s="6"/>
      <x:c r="N258" s="6"/>
      <x:c r="O258" s="6"/>
      <x:c r="P258" s="6"/>
      <x:c r="Q258" s="6"/>
    </x:row>
    <x:row r="259" ht="19" customHeight="1">
      <x:c r="A259" s="6"/>
      <x:c r="B259" s="6"/>
      <x:c r="C259" s="6"/>
      <x:c r="D259" s="6"/>
      <x:c r="E259" s="6"/>
      <x:c r="F259" s="6"/>
      <x:c r="G259" s="6"/>
      <x:c r="H259" s="6"/>
      <x:c r="I259" s="6"/>
      <x:c r="J259" s="6"/>
      <x:c r="K259" s="6"/>
      <x:c r="L259" s="6"/>
      <x:c r="M259" s="6"/>
      <x:c r="N259" s="6"/>
      <x:c r="O259" s="6"/>
      <x:c r="P259" s="6"/>
      <x:c r="Q259" s="6"/>
    </x:row>
    <x:row r="260" ht="19" customHeight="1">
      <x:c r="A260" s="6"/>
      <x:c r="B260" s="6"/>
      <x:c r="C260" s="6"/>
      <x:c r="D260" s="6"/>
      <x:c r="E260" s="6"/>
      <x:c r="F260" s="6"/>
      <x:c r="G260" s="6"/>
      <x:c r="H260" s="6"/>
      <x:c r="I260" s="6"/>
      <x:c r="J260" s="6"/>
      <x:c r="K260" s="6"/>
      <x:c r="L260" s="6"/>
      <x:c r="M260" s="6"/>
      <x:c r="N260" s="6"/>
      <x:c r="O260" s="6"/>
      <x:c r="P260" s="6"/>
      <x:c r="Q260" s="6"/>
    </x:row>
  </x:sheetData>
  <x:mergeCells>
    <x:mergeCell ref="A1:L2"/>
    <x:mergeCell ref="A4:L4"/>
    <x:mergeCell ref="A6:E6"/>
    <x:mergeCell ref="A11:E11"/>
    <x:mergeCell ref="A19:E19"/>
    <x:mergeCell ref="A26:E28"/>
  </x:mergeCells>
  <x:pageMargins left="0.7" right="0.7" top="0.75" bottom="0.75" header="0.3" footer="0.3"/>
  <x:drawing xmlns:r="http://schemas.openxmlformats.org/officeDocument/2006/relationships" r:id="Rd05515dc6a504e16"/>
</x:worksheet>
</file>

<file path=xl/worksheets/sheet1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80" hidden="0" customWidth="1"/>
  </x:cols>
  <x:sheetData>
    <x:row r="1" ht="24" customHeight="1">
      <x:c r="A1" s="10" t="str">
        <x:v>Методика и ссылки</x:v>
      </x:c>
      <x:c r="B1" s="10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</x:row>
    <x:row r="2" ht="24" customHeight="1">
      <x:c r="A2" s="10"/>
      <x:c r="B2" s="10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</x:row>
    <x:row r="3" ht="19" customHeight="1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</x:row>
    <x:row r="4" ht="30" customHeight="1">
      <x:c r="A4" s="17" t="str">
        <x:v>Источник</x:v>
      </x:c>
      <x:c r="B4" s="17" t="str">
        <x:v>URL / применение</x:v>
      </x:c>
      <x:c r="C4" s="6"/>
      <x:c r="D4" s="6"/>
      <x:c r="E4" s="6"/>
      <x:c r="F4" s="6"/>
      <x:c r="G4" s="6"/>
      <x:c r="H4" s="6"/>
      <x:c r="I4" s="6"/>
      <x:c r="J4" s="6"/>
      <x:c r="K4" s="6"/>
      <x:c r="L4" s="6"/>
      <x:c r="M4" s="6"/>
      <x:c r="N4" s="6"/>
      <x:c r="O4" s="6"/>
      <x:c r="P4" s="6"/>
      <x:c r="Q4" s="6"/>
    </x:row>
    <x:row r="5" ht="42" customHeight="1">
      <x:c r="A5" s="6" t="str">
        <x:v>Chen, C.-T. (2000)</x:v>
      </x:c>
      <x:c r="B5" s="22" t="str">
        <x:v>https://doi.org/10.1016/S0165-0114(97)00377-1 — fuzzy TOPSIS, треугольные числа, вершинное расстояние</x:v>
      </x:c>
      <x:c r="C5" s="6"/>
      <x:c r="D5" s="6"/>
      <x:c r="E5" s="6"/>
      <x:c r="F5" s="6"/>
      <x:c r="G5" s="6"/>
      <x:c r="H5" s="6"/>
      <x:c r="I5" s="6"/>
      <x:c r="J5" s="6"/>
      <x:c r="K5" s="6"/>
      <x:c r="L5" s="6"/>
      <x:c r="M5" s="6"/>
      <x:c r="N5" s="6"/>
      <x:c r="O5" s="6"/>
      <x:c r="P5" s="6"/>
      <x:c r="Q5" s="6"/>
    </x:row>
    <x:row r="6" ht="42" customHeight="1">
      <x:c r="A6" s="6" t="str">
        <x:v>Fuzzy TOPSIS (open access)</x:v>
      </x:c>
      <x:c r="B6" s="22" t="str">
        <x:v>https://pmc.ncbi.nlm.nih.gov/articles/PMC4864887/ — вычисление vertex distance</x:v>
      </x:c>
      <x:c r="C6" s="6"/>
      <x:c r="D6" s="6"/>
      <x:c r="E6" s="6"/>
      <x:c r="F6" s="6"/>
      <x:c r="G6" s="6"/>
      <x:c r="H6" s="6"/>
      <x:c r="I6" s="6"/>
      <x:c r="J6" s="6"/>
      <x:c r="K6" s="6"/>
      <x:c r="L6" s="6"/>
      <x:c r="M6" s="6"/>
      <x:c r="N6" s="6"/>
      <x:c r="O6" s="6"/>
      <x:c r="P6" s="6"/>
      <x:c r="Q6" s="6"/>
    </x:row>
    <x:row r="7" ht="42" customHeight="1">
      <x:c r="A7" s="6" t="str">
        <x:v>AHP, групповое решение</x:v>
      </x:c>
      <x:c r="B7" s="22" t="str">
        <x:v>https://link.springer.com/article/10.1007/s10726-015-9448-4 — агрегирование оценок геометрическим средним</x:v>
      </x:c>
      <x:c r="C7" s="6"/>
      <x:c r="D7" s="6"/>
      <x:c r="E7" s="6"/>
      <x:c r="F7" s="6"/>
      <x:c r="G7" s="6"/>
      <x:c r="H7" s="6"/>
      <x:c r="I7" s="6"/>
      <x:c r="J7" s="6"/>
      <x:c r="K7" s="6"/>
      <x:c r="L7" s="6"/>
      <x:c r="M7" s="6"/>
      <x:c r="N7" s="6"/>
      <x:c r="O7" s="6"/>
      <x:c r="P7" s="6"/>
      <x:c r="Q7" s="6"/>
    </x:row>
    <x:row r="8" ht="42" customHeight="1">
      <x:c r="A8" s="6" t="str">
        <x:v>AHP, согласованность</x:v>
      </x:c>
      <x:c r="B8" s="22" t="str">
        <x:v>https://pmc.ncbi.nlm.nih.gov/articles/PMC2650240/ — CR ≤ 0,10</x:v>
      </x:c>
      <x:c r="C8" s="6"/>
      <x:c r="D8" s="6"/>
      <x:c r="E8" s="6"/>
      <x:c r="F8" s="6"/>
      <x:c r="G8" s="6"/>
      <x:c r="H8" s="6"/>
      <x:c r="I8" s="6"/>
      <x:c r="J8" s="6"/>
      <x:c r="K8" s="6"/>
      <x:c r="L8" s="6"/>
      <x:c r="M8" s="6"/>
      <x:c r="N8" s="6"/>
      <x:c r="O8" s="6"/>
      <x:c r="P8" s="6"/>
      <x:c r="Q8" s="6"/>
    </x:row>
    <x:row r="9" ht="42" customHeight="1">
      <x:c r="A9" s="6" t="str">
        <x:v>Статус</x:v>
      </x:c>
      <x:c r="B9" s="22" t="str">
        <x:v>Все экспертные оценки и пары — модельный пример; демонстрационная методика, не реальные протоколы участников</x:v>
      </x:c>
      <x:c r="C9" s="6"/>
      <x:c r="D9" s="6"/>
      <x:c r="E9" s="6"/>
      <x:c r="F9" s="6"/>
      <x:c r="G9" s="6"/>
      <x:c r="H9" s="6"/>
      <x:c r="I9" s="6"/>
      <x:c r="J9" s="6"/>
      <x:c r="K9" s="6"/>
      <x:c r="L9" s="6"/>
      <x:c r="M9" s="6"/>
      <x:c r="N9" s="6"/>
      <x:c r="O9" s="6"/>
      <x:c r="P9" s="6"/>
      <x:c r="Q9" s="6"/>
    </x:row>
    <x:row r="10" ht="19" customHeight="1">
      <x:c r="A10" s="6"/>
      <x:c r="B10" s="6"/>
      <x:c r="C10" s="6"/>
      <x:c r="D10" s="6"/>
      <x:c r="E10" s="6"/>
      <x:c r="F10" s="6"/>
      <x:c r="G10" s="6"/>
      <x:c r="H10" s="6"/>
      <x:c r="I10" s="6"/>
      <x:c r="J10" s="6"/>
      <x:c r="K10" s="6"/>
      <x:c r="L10" s="6"/>
      <x:c r="M10" s="6"/>
      <x:c r="N10" s="6"/>
      <x:c r="O10" s="6"/>
      <x:c r="P10" s="6"/>
      <x:c r="Q10" s="6"/>
    </x:row>
    <x:row r="11" ht="19" customHeight="1">
      <x:c r="A11" s="6"/>
      <x:c r="B11" s="6"/>
      <x:c r="C11" s="6"/>
      <x:c r="D11" s="6"/>
      <x:c r="E11" s="6"/>
      <x:c r="F11" s="6"/>
      <x:c r="G11" s="6"/>
      <x:c r="H11" s="6"/>
      <x:c r="I11" s="6"/>
      <x:c r="J11" s="6"/>
      <x:c r="K11" s="6"/>
      <x:c r="L11" s="6"/>
      <x:c r="M11" s="6"/>
      <x:c r="N11" s="6"/>
      <x:c r="O11" s="6"/>
      <x:c r="P11" s="6"/>
      <x:c r="Q11" s="6"/>
    </x:row>
    <x:row r="12" ht="19" customHeight="1">
      <x:c r="A12" s="6"/>
      <x:c r="B12" s="6"/>
      <x:c r="C12" s="6"/>
      <x:c r="D12" s="6"/>
      <x:c r="E12" s="6"/>
      <x:c r="F12" s="6"/>
      <x:c r="G12" s="6"/>
      <x:c r="H12" s="6"/>
      <x:c r="I12" s="6"/>
      <x:c r="J12" s="6"/>
      <x:c r="K12" s="6"/>
      <x:c r="L12" s="6"/>
      <x:c r="M12" s="6"/>
      <x:c r="N12" s="6"/>
      <x:c r="O12" s="6"/>
      <x:c r="P12" s="6"/>
      <x:c r="Q12" s="6"/>
    </x:row>
    <x:row r="13" ht="19" customHeight="1">
      <x:c r="A13" s="6"/>
      <x:c r="B13" s="6"/>
      <x:c r="C13" s="6"/>
      <x:c r="D13" s="6"/>
      <x:c r="E13" s="6"/>
      <x:c r="F13" s="6"/>
      <x:c r="G13" s="6"/>
      <x:c r="H13" s="6"/>
      <x:c r="I13" s="6"/>
      <x:c r="J13" s="6"/>
      <x:c r="K13" s="6"/>
      <x:c r="L13" s="6"/>
      <x:c r="M13" s="6"/>
      <x:c r="N13" s="6"/>
      <x:c r="O13" s="6"/>
      <x:c r="P13" s="6"/>
      <x:c r="Q13" s="6"/>
    </x:row>
    <x:row r="14" ht="19" customHeight="1">
      <x:c r="A14" s="6"/>
      <x:c r="B14" s="6"/>
      <x:c r="C14" s="6"/>
      <x:c r="D14" s="6"/>
      <x:c r="E14" s="6"/>
      <x:c r="F14" s="6"/>
      <x:c r="G14" s="6"/>
      <x:c r="H14" s="6"/>
      <x:c r="I14" s="6"/>
      <x:c r="J14" s="6"/>
      <x:c r="K14" s="6"/>
      <x:c r="L14" s="6"/>
      <x:c r="M14" s="6"/>
      <x:c r="N14" s="6"/>
      <x:c r="O14" s="6"/>
      <x:c r="P14" s="6"/>
      <x:c r="Q14" s="6"/>
    </x:row>
    <x:row r="15" ht="19" customHeight="1">
      <x:c r="A15" s="6"/>
      <x:c r="B15" s="6"/>
      <x:c r="C15" s="6"/>
      <x:c r="D15" s="6"/>
      <x:c r="E15" s="6"/>
      <x:c r="F15" s="6"/>
      <x:c r="G15" s="6"/>
      <x:c r="H15" s="6"/>
      <x:c r="I15" s="6"/>
      <x:c r="J15" s="6"/>
      <x:c r="K15" s="6"/>
      <x:c r="L15" s="6"/>
      <x:c r="M15" s="6"/>
      <x:c r="N15" s="6"/>
      <x:c r="O15" s="6"/>
      <x:c r="P15" s="6"/>
      <x:c r="Q15" s="6"/>
    </x:row>
    <x:row r="16" ht="19" customHeight="1">
      <x:c r="A16" s="6"/>
      <x:c r="B16" s="6"/>
      <x:c r="C16" s="6"/>
      <x:c r="D16" s="6"/>
      <x:c r="E16" s="6"/>
      <x:c r="F16" s="6"/>
      <x:c r="G16" s="6"/>
      <x:c r="H16" s="6"/>
      <x:c r="I16" s="6"/>
      <x:c r="J16" s="6"/>
      <x:c r="K16" s="6"/>
      <x:c r="L16" s="6"/>
      <x:c r="M16" s="6"/>
      <x:c r="N16" s="6"/>
      <x:c r="O16" s="6"/>
      <x:c r="P16" s="6"/>
      <x:c r="Q16" s="6"/>
    </x:row>
    <x:row r="17" ht="19" customHeight="1">
      <x:c r="A17" s="6"/>
      <x:c r="B17" s="6"/>
      <x:c r="C17" s="6"/>
      <x:c r="D17" s="6"/>
      <x:c r="E17" s="6"/>
      <x:c r="F17" s="6"/>
      <x:c r="G17" s="6"/>
      <x:c r="H17" s="6"/>
      <x:c r="I17" s="6"/>
      <x:c r="J17" s="6"/>
      <x:c r="K17" s="6"/>
      <x:c r="L17" s="6"/>
      <x:c r="M17" s="6"/>
      <x:c r="N17" s="6"/>
      <x:c r="O17" s="6"/>
      <x:c r="P17" s="6"/>
      <x:c r="Q17" s="6"/>
    </x:row>
    <x:row r="18" ht="19" customHeight="1">
      <x:c r="A18" s="6"/>
      <x:c r="B18" s="6"/>
      <x:c r="C18" s="6"/>
      <x:c r="D18" s="6"/>
      <x:c r="E18" s="6"/>
      <x:c r="F18" s="6"/>
      <x:c r="G18" s="6"/>
      <x:c r="H18" s="6"/>
      <x:c r="I18" s="6"/>
      <x:c r="J18" s="6"/>
      <x:c r="K18" s="6"/>
      <x:c r="L18" s="6"/>
      <x:c r="M18" s="6"/>
      <x:c r="N18" s="6"/>
      <x:c r="O18" s="6"/>
      <x:c r="P18" s="6"/>
      <x:c r="Q18" s="6"/>
    </x:row>
    <x:row r="19" ht="19" customHeight="1">
      <x:c r="A19" s="6"/>
      <x:c r="B19" s="6"/>
      <x:c r="C19" s="6"/>
      <x:c r="D19" s="6"/>
      <x:c r="E19" s="6"/>
      <x:c r="F19" s="6"/>
      <x:c r="G19" s="6"/>
      <x:c r="H19" s="6"/>
      <x:c r="I19" s="6"/>
      <x:c r="J19" s="6"/>
      <x:c r="K19" s="6"/>
      <x:c r="L19" s="6"/>
      <x:c r="M19" s="6"/>
      <x:c r="N19" s="6"/>
      <x:c r="O19" s="6"/>
      <x:c r="P19" s="6"/>
      <x:c r="Q19" s="6"/>
    </x:row>
    <x:row r="20" ht="19" customHeight="1">
      <x:c r="A20" s="6"/>
      <x:c r="B20" s="6"/>
      <x:c r="C20" s="6"/>
      <x:c r="D20" s="6"/>
      <x:c r="E20" s="6"/>
      <x:c r="F20" s="6"/>
      <x:c r="G20" s="6"/>
      <x:c r="H20" s="6"/>
      <x:c r="I20" s="6"/>
      <x:c r="J20" s="6"/>
      <x:c r="K20" s="6"/>
      <x:c r="L20" s="6"/>
      <x:c r="M20" s="6"/>
      <x:c r="N20" s="6"/>
      <x:c r="O20" s="6"/>
      <x:c r="P20" s="6"/>
      <x:c r="Q20" s="6"/>
    </x:row>
    <x:row r="21" ht="19" customHeight="1">
      <x:c r="A21" s="6"/>
      <x:c r="B21" s="6"/>
      <x:c r="C21" s="6"/>
      <x:c r="D21" s="6"/>
      <x:c r="E21" s="6"/>
      <x:c r="F21" s="6"/>
      <x:c r="G21" s="6"/>
      <x:c r="H21" s="6"/>
      <x:c r="I21" s="6"/>
      <x:c r="J21" s="6"/>
      <x:c r="K21" s="6"/>
      <x:c r="L21" s="6"/>
      <x:c r="M21" s="6"/>
      <x:c r="N21" s="6"/>
      <x:c r="O21" s="6"/>
      <x:c r="P21" s="6"/>
      <x:c r="Q21" s="6"/>
    </x:row>
    <x:row r="22" ht="19" customHeight="1">
      <x:c r="A22" s="6"/>
      <x:c r="B22" s="6"/>
      <x:c r="C22" s="6"/>
      <x:c r="D22" s="6"/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  <x:c r="Q22" s="6"/>
    </x:row>
    <x:row r="23" ht="19" customHeight="1">
      <x:c r="A23" s="6"/>
      <x:c r="B23" s="6"/>
      <x:c r="C23" s="6"/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  <x:c r="Q23" s="6"/>
    </x:row>
    <x:row r="24" ht="19" customHeight="1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  <x:c r="Q24" s="6"/>
    </x:row>
    <x:row r="25" ht="19" customHeight="1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  <x:c r="Q25" s="6"/>
    </x:row>
    <x:row r="26" ht="19" customHeight="1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  <x:c r="Q26" s="6"/>
    </x:row>
    <x:row r="27" ht="19" customHeight="1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  <x:c r="Q27" s="6"/>
    </x:row>
    <x:row r="28" ht="19" customHeight="1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  <x:c r="Q28" s="6"/>
    </x:row>
    <x:row r="29" ht="19" customHeight="1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  <x:c r="Q29" s="6"/>
    </x:row>
    <x:row r="30" ht="19" customHeight="1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  <x:c r="Q30" s="6"/>
    </x:row>
    <x:row r="31" ht="19" customHeight="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  <x:c r="Q31" s="6"/>
    </x:row>
    <x:row r="32" ht="19" customHeight="1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  <x:c r="Q32" s="6"/>
    </x:row>
    <x:row r="33" ht="19" customHeight="1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  <x:c r="Q33" s="6"/>
    </x:row>
    <x:row r="34" ht="19" customHeight="1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  <x:c r="Q34" s="6"/>
    </x:row>
    <x:row r="35" ht="19" customHeight="1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  <x:c r="Q35" s="6"/>
    </x:row>
    <x:row r="36" ht="19" customHeight="1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  <x:c r="Q36" s="6"/>
    </x:row>
    <x:row r="37" ht="19" customHeight="1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  <x:c r="Q37" s="6"/>
    </x:row>
    <x:row r="38" ht="19" customHeight="1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  <x:c r="Q38" s="6"/>
    </x:row>
    <x:row r="39" ht="19" customHeight="1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  <x:c r="Q39" s="6"/>
    </x:row>
    <x:row r="40" ht="19" customHeight="1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  <x:c r="Q40" s="6"/>
    </x:row>
    <x:row r="41" ht="19" customHeight="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  <x:c r="Q41" s="6"/>
    </x:row>
    <x:row r="42" ht="19" customHeight="1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  <x:c r="Q42" s="6"/>
    </x:row>
    <x:row r="43" ht="19" customHeight="1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  <x:c r="Q43" s="6"/>
    </x:row>
    <x:row r="44" ht="19" customHeight="1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  <x:c r="Q44" s="6"/>
    </x:row>
    <x:row r="45" ht="19" customHeight="1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  <x:c r="Q45" s="6"/>
    </x:row>
    <x:row r="46" ht="19" customHeight="1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  <x:c r="Q46" s="6"/>
    </x:row>
    <x:row r="47" ht="19" customHeight="1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  <x:c r="Q47" s="6"/>
    </x:row>
    <x:row r="48" ht="19" customHeight="1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  <x:c r="Q48" s="6"/>
    </x:row>
    <x:row r="49" ht="19" customHeight="1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  <x:c r="Q49" s="6"/>
    </x:row>
    <x:row r="50" ht="19" customHeight="1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  <x:c r="Q50" s="6"/>
    </x:row>
    <x:row r="51" ht="19" customHeight="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  <x:c r="Q51" s="6"/>
    </x:row>
    <x:row r="52" ht="19" customHeight="1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  <x:c r="Q52" s="6"/>
    </x:row>
    <x:row r="53" ht="19" customHeight="1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  <x:c r="Q53" s="6"/>
    </x:row>
    <x:row r="54" ht="19" customHeight="1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  <x:c r="Q54" s="6"/>
    </x:row>
    <x:row r="55" ht="19" customHeight="1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  <x:c r="Q55" s="6"/>
    </x:row>
    <x:row r="56" ht="19" customHeight="1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  <x:c r="Q56" s="6"/>
    </x:row>
    <x:row r="57" ht="19" customHeight="1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  <x:c r="Q57" s="6"/>
    </x:row>
    <x:row r="58" ht="19" customHeight="1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  <x:c r="Q58" s="6"/>
    </x:row>
    <x:row r="59" ht="19" customHeight="1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  <x:c r="Q59" s="6"/>
    </x:row>
    <x:row r="60" ht="19" customHeight="1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  <x:c r="Q60" s="6"/>
    </x:row>
    <x:row r="61" ht="19" customHeight="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  <x:c r="Q61" s="6"/>
    </x:row>
    <x:row r="62" ht="19" customHeight="1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  <x:c r="Q62" s="6"/>
    </x:row>
    <x:row r="63" ht="19" customHeight="1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  <x:c r="Q63" s="6"/>
    </x:row>
    <x:row r="64" ht="19" customHeight="1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  <x:c r="Q64" s="6"/>
    </x:row>
    <x:row r="65" ht="19" customHeight="1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</x:row>
    <x:row r="66" ht="19" customHeight="1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  <x:c r="Q66" s="6"/>
    </x:row>
    <x:row r="67" ht="19" customHeight="1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  <x:c r="Q67" s="6"/>
    </x:row>
    <x:row r="68" ht="19" customHeight="1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  <x:c r="Q68" s="6"/>
    </x:row>
    <x:row r="69" ht="19" customHeight="1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  <x:c r="Q69" s="6"/>
    </x:row>
    <x:row r="70" ht="19" customHeight="1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</x:row>
    <x:row r="71" ht="19" customHeight="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  <x:c r="Q71" s="6"/>
    </x:row>
    <x:row r="72" ht="19" customHeight="1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  <x:c r="Q72" s="6"/>
    </x:row>
    <x:row r="73" ht="19" customHeight="1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  <x:c r="Q73" s="6"/>
    </x:row>
    <x:row r="74" ht="19" customHeight="1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  <x:c r="Q74" s="6"/>
    </x:row>
    <x:row r="75" ht="19" customHeight="1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  <x:c r="Q75" s="6"/>
    </x:row>
    <x:row r="76" ht="19" customHeight="1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  <x:c r="Q76" s="6"/>
    </x:row>
    <x:row r="77" ht="19" customHeight="1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  <x:c r="Q77" s="6"/>
    </x:row>
    <x:row r="78" ht="19" customHeight="1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  <x:c r="Q78" s="6"/>
    </x:row>
    <x:row r="79" ht="19" customHeight="1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  <x:c r="Q79" s="6"/>
    </x:row>
    <x:row r="80" ht="19" customHeight="1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  <x:c r="Q80" s="6"/>
    </x:row>
    <x:row r="81" ht="19" customHeight="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  <x:c r="Q81" s="6"/>
    </x:row>
    <x:row r="82" ht="19" customHeight="1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  <x:c r="Q82" s="6"/>
    </x:row>
    <x:row r="83" ht="19" customHeight="1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  <x:c r="Q83" s="6"/>
    </x:row>
    <x:row r="84" ht="19" customHeight="1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  <x:c r="Q84" s="6"/>
    </x:row>
    <x:row r="85" ht="19" customHeight="1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</x:row>
    <x:row r="86" ht="19" customHeight="1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  <x:c r="Q86" s="6"/>
    </x:row>
    <x:row r="87" ht="19" customHeight="1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  <x:c r="Q87" s="6"/>
    </x:row>
    <x:row r="88" ht="19" customHeight="1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  <x:c r="Q88" s="6"/>
    </x:row>
    <x:row r="89" ht="19" customHeight="1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  <x:c r="Q89" s="6"/>
    </x:row>
    <x:row r="90" ht="19" customHeight="1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  <x:c r="Q90" s="6"/>
    </x:row>
    <x:row r="91" ht="19" customHeight="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  <x:c r="Q91" s="6"/>
    </x:row>
    <x:row r="92" ht="19" customHeight="1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  <x:c r="Q92" s="6"/>
    </x:row>
    <x:row r="93" ht="19" customHeight="1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  <x:c r="Q93" s="6"/>
    </x:row>
    <x:row r="94" ht="19" customHeight="1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  <x:c r="Q94" s="6"/>
    </x:row>
    <x:row r="95" ht="19" customHeight="1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  <x:c r="Q95" s="6"/>
    </x:row>
    <x:row r="96" ht="19" customHeight="1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  <x:c r="Q96" s="6"/>
    </x:row>
    <x:row r="97" ht="19" customHeight="1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  <x:c r="Q97" s="6"/>
    </x:row>
    <x:row r="98" ht="19" customHeight="1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  <x:c r="Q98" s="6"/>
    </x:row>
    <x:row r="99" ht="19" customHeight="1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  <x:c r="Q99" s="6"/>
    </x:row>
    <x:row r="100" ht="19" customHeight="1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  <x:c r="Q100" s="6"/>
    </x:row>
    <x:row r="101" ht="19" customHeight="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  <x:c r="L101" s="6"/>
      <x:c r="M101" s="6"/>
      <x:c r="N101" s="6"/>
      <x:c r="O101" s="6"/>
      <x:c r="P101" s="6"/>
      <x:c r="Q101" s="6"/>
    </x:row>
    <x:row r="102" ht="19" customHeight="1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  <x:c r="M102" s="6"/>
      <x:c r="N102" s="6"/>
      <x:c r="O102" s="6"/>
      <x:c r="P102" s="6"/>
      <x:c r="Q102" s="6"/>
    </x:row>
    <x:row r="103" ht="19" customHeight="1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  <x:c r="L103" s="6"/>
      <x:c r="M103" s="6"/>
      <x:c r="N103" s="6"/>
      <x:c r="O103" s="6"/>
      <x:c r="P103" s="6"/>
      <x:c r="Q103" s="6"/>
    </x:row>
    <x:row r="104" ht="19" customHeight="1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  <x:c r="M104" s="6"/>
      <x:c r="N104" s="6"/>
      <x:c r="O104" s="6"/>
      <x:c r="P104" s="6"/>
      <x:c r="Q104" s="6"/>
    </x:row>
    <x:row r="105" ht="19" customHeight="1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  <x:c r="M105" s="6"/>
      <x:c r="N105" s="6"/>
      <x:c r="O105" s="6"/>
      <x:c r="P105" s="6"/>
      <x:c r="Q105" s="6"/>
    </x:row>
    <x:row r="106" ht="19" customHeight="1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  <x:c r="M106" s="6"/>
      <x:c r="N106" s="6"/>
      <x:c r="O106" s="6"/>
      <x:c r="P106" s="6"/>
      <x:c r="Q106" s="6"/>
    </x:row>
    <x:row r="107" ht="19" customHeight="1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  <x:c r="M107" s="6"/>
      <x:c r="N107" s="6"/>
      <x:c r="O107" s="6"/>
      <x:c r="P107" s="6"/>
      <x:c r="Q107" s="6"/>
    </x:row>
    <x:row r="108" ht="19" customHeight="1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  <x:c r="M108" s="6"/>
      <x:c r="N108" s="6"/>
      <x:c r="O108" s="6"/>
      <x:c r="P108" s="6"/>
      <x:c r="Q108" s="6"/>
    </x:row>
    <x:row r="109" ht="19" customHeight="1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  <x:c r="L109" s="6"/>
      <x:c r="M109" s="6"/>
      <x:c r="N109" s="6"/>
      <x:c r="O109" s="6"/>
      <x:c r="P109" s="6"/>
      <x:c r="Q109" s="6"/>
    </x:row>
    <x:row r="110" ht="19" customHeight="1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  <x:c r="L110" s="6"/>
      <x:c r="M110" s="6"/>
      <x:c r="N110" s="6"/>
      <x:c r="O110" s="6"/>
      <x:c r="P110" s="6"/>
      <x:c r="Q110" s="6"/>
    </x:row>
    <x:row r="111" ht="19" customHeight="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  <x:c r="L111" s="6"/>
      <x:c r="M111" s="6"/>
      <x:c r="N111" s="6"/>
      <x:c r="O111" s="6"/>
      <x:c r="P111" s="6"/>
      <x:c r="Q111" s="6"/>
    </x:row>
    <x:row r="112" ht="19" customHeight="1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  <x:c r="L112" s="6"/>
      <x:c r="M112" s="6"/>
      <x:c r="N112" s="6"/>
      <x:c r="O112" s="6"/>
      <x:c r="P112" s="6"/>
      <x:c r="Q112" s="6"/>
    </x:row>
    <x:row r="113" ht="19" customHeight="1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  <x:c r="L113" s="6"/>
      <x:c r="M113" s="6"/>
      <x:c r="N113" s="6"/>
      <x:c r="O113" s="6"/>
      <x:c r="P113" s="6"/>
      <x:c r="Q113" s="6"/>
    </x:row>
    <x:row r="114" ht="19" customHeight="1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  <x:c r="L114" s="6"/>
      <x:c r="M114" s="6"/>
      <x:c r="N114" s="6"/>
      <x:c r="O114" s="6"/>
      <x:c r="P114" s="6"/>
      <x:c r="Q114" s="6"/>
    </x:row>
    <x:row r="115" ht="19" customHeight="1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  <x:c r="M115" s="6"/>
      <x:c r="N115" s="6"/>
      <x:c r="O115" s="6"/>
      <x:c r="P115" s="6"/>
      <x:c r="Q115" s="6"/>
    </x:row>
    <x:row r="116" ht="19" customHeight="1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  <x:c r="L116" s="6"/>
      <x:c r="M116" s="6"/>
      <x:c r="N116" s="6"/>
      <x:c r="O116" s="6"/>
      <x:c r="P116" s="6"/>
      <x:c r="Q116" s="6"/>
    </x:row>
    <x:row r="117" ht="19" customHeight="1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  <x:c r="M117" s="6"/>
      <x:c r="N117" s="6"/>
      <x:c r="O117" s="6"/>
      <x:c r="P117" s="6"/>
      <x:c r="Q117" s="6"/>
    </x:row>
    <x:row r="118" ht="19" customHeight="1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  <x:c r="M118" s="6"/>
      <x:c r="N118" s="6"/>
      <x:c r="O118" s="6"/>
      <x:c r="P118" s="6"/>
      <x:c r="Q118" s="6"/>
    </x:row>
    <x:row r="119" ht="19" customHeight="1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  <x:c r="M119" s="6"/>
      <x:c r="N119" s="6"/>
      <x:c r="O119" s="6"/>
      <x:c r="P119" s="6"/>
      <x:c r="Q119" s="6"/>
    </x:row>
    <x:row r="120" ht="19" customHeight="1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  <x:c r="M120" s="6"/>
      <x:c r="N120" s="6"/>
      <x:c r="O120" s="6"/>
      <x:c r="P120" s="6"/>
      <x:c r="Q120" s="6"/>
    </x:row>
    <x:row r="121" ht="19" customHeight="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  <x:c r="M121" s="6"/>
      <x:c r="N121" s="6"/>
      <x:c r="O121" s="6"/>
      <x:c r="P121" s="6"/>
      <x:c r="Q121" s="6"/>
    </x:row>
    <x:row r="122" ht="19" customHeight="1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  <x:c r="L122" s="6"/>
      <x:c r="M122" s="6"/>
      <x:c r="N122" s="6"/>
      <x:c r="O122" s="6"/>
      <x:c r="P122" s="6"/>
      <x:c r="Q122" s="6"/>
    </x:row>
    <x:row r="123" ht="19" customHeight="1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  <x:c r="L123" s="6"/>
      <x:c r="M123" s="6"/>
      <x:c r="N123" s="6"/>
      <x:c r="O123" s="6"/>
      <x:c r="P123" s="6"/>
      <x:c r="Q123" s="6"/>
    </x:row>
    <x:row r="124" ht="19" customHeight="1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  <x:c r="L124" s="6"/>
      <x:c r="M124" s="6"/>
      <x:c r="N124" s="6"/>
      <x:c r="O124" s="6"/>
      <x:c r="P124" s="6"/>
      <x:c r="Q124" s="6"/>
    </x:row>
    <x:row r="125" ht="19" customHeight="1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  <x:c r="L125" s="6"/>
      <x:c r="M125" s="6"/>
      <x:c r="N125" s="6"/>
      <x:c r="O125" s="6"/>
      <x:c r="P125" s="6"/>
      <x:c r="Q125" s="6"/>
    </x:row>
    <x:row r="126" ht="19" customHeight="1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  <x:c r="L126" s="6"/>
      <x:c r="M126" s="6"/>
      <x:c r="N126" s="6"/>
      <x:c r="O126" s="6"/>
      <x:c r="P126" s="6"/>
      <x:c r="Q126" s="6"/>
    </x:row>
    <x:row r="127" ht="19" customHeight="1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  <x:c r="L127" s="6"/>
      <x:c r="M127" s="6"/>
      <x:c r="N127" s="6"/>
      <x:c r="O127" s="6"/>
      <x:c r="P127" s="6"/>
      <x:c r="Q127" s="6"/>
    </x:row>
    <x:row r="128" ht="19" customHeight="1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  <x:c r="M128" s="6"/>
      <x:c r="N128" s="6"/>
      <x:c r="O128" s="6"/>
      <x:c r="P128" s="6"/>
      <x:c r="Q128" s="6"/>
    </x:row>
    <x:row r="129" ht="19" customHeight="1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  <x:c r="L129" s="6"/>
      <x:c r="M129" s="6"/>
      <x:c r="N129" s="6"/>
      <x:c r="O129" s="6"/>
      <x:c r="P129" s="6"/>
      <x:c r="Q129" s="6"/>
    </x:row>
    <x:row r="130" ht="19" customHeight="1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  <x:c r="M130" s="6"/>
      <x:c r="N130" s="6"/>
      <x:c r="O130" s="6"/>
      <x:c r="P130" s="6"/>
      <x:c r="Q130" s="6"/>
    </x:row>
    <x:row r="131" ht="19" customHeight="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  <x:c r="M131" s="6"/>
      <x:c r="N131" s="6"/>
      <x:c r="O131" s="6"/>
      <x:c r="P131" s="6"/>
      <x:c r="Q131" s="6"/>
    </x:row>
    <x:row r="132" ht="19" customHeight="1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  <x:c r="M132" s="6"/>
      <x:c r="N132" s="6"/>
      <x:c r="O132" s="6"/>
      <x:c r="P132" s="6"/>
      <x:c r="Q132" s="6"/>
    </x:row>
    <x:row r="133" ht="19" customHeight="1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  <x:c r="M133" s="6"/>
      <x:c r="N133" s="6"/>
      <x:c r="O133" s="6"/>
      <x:c r="P133" s="6"/>
      <x:c r="Q133" s="6"/>
    </x:row>
    <x:row r="134" ht="19" customHeight="1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  <x:c r="M134" s="6"/>
      <x:c r="N134" s="6"/>
      <x:c r="O134" s="6"/>
      <x:c r="P134" s="6"/>
      <x:c r="Q134" s="6"/>
    </x:row>
    <x:row r="135" ht="19" customHeight="1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  <x:c r="M135" s="6"/>
      <x:c r="N135" s="6"/>
      <x:c r="O135" s="6"/>
      <x:c r="P135" s="6"/>
      <x:c r="Q135" s="6"/>
    </x:row>
    <x:row r="136" ht="19" customHeight="1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  <x:c r="M136" s="6"/>
      <x:c r="N136" s="6"/>
      <x:c r="O136" s="6"/>
      <x:c r="P136" s="6"/>
      <x:c r="Q136" s="6"/>
    </x:row>
    <x:row r="137" ht="19" customHeight="1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  <x:c r="M137" s="6"/>
      <x:c r="N137" s="6"/>
      <x:c r="O137" s="6"/>
      <x:c r="P137" s="6"/>
      <x:c r="Q137" s="6"/>
    </x:row>
    <x:row r="138" ht="19" customHeight="1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  <x:c r="M138" s="6"/>
      <x:c r="N138" s="6"/>
      <x:c r="O138" s="6"/>
      <x:c r="P138" s="6"/>
      <x:c r="Q138" s="6"/>
    </x:row>
    <x:row r="139" ht="19" customHeight="1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  <x:c r="N139" s="6"/>
      <x:c r="O139" s="6"/>
      <x:c r="P139" s="6"/>
      <x:c r="Q139" s="6"/>
    </x:row>
    <x:row r="140" ht="19" customHeight="1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  <x:c r="M140" s="6"/>
      <x:c r="N140" s="6"/>
      <x:c r="O140" s="6"/>
      <x:c r="P140" s="6"/>
      <x:c r="Q140" s="6"/>
    </x:row>
    <x:row r="141" ht="19" customHeight="1">
      <x:c r="A141" s="6"/>
      <x:c r="B141" s="6"/>
      <x:c r="C141" s="6"/>
      <x:c r="D141" s="6"/>
      <x:c r="E141" s="6"/>
      <x:c r="F141" s="6"/>
      <x:c r="G141" s="6"/>
      <x:c r="H141" s="6"/>
      <x:c r="I141" s="6"/>
      <x:c r="J141" s="6"/>
      <x:c r="K141" s="6"/>
      <x:c r="L141" s="6"/>
      <x:c r="M141" s="6"/>
      <x:c r="N141" s="6"/>
      <x:c r="O141" s="6"/>
      <x:c r="P141" s="6"/>
      <x:c r="Q141" s="6"/>
    </x:row>
    <x:row r="142" ht="19" customHeight="1">
      <x:c r="A142" s="6"/>
      <x:c r="B142" s="6"/>
      <x:c r="C142" s="6"/>
      <x:c r="D142" s="6"/>
      <x:c r="E142" s="6"/>
      <x:c r="F142" s="6"/>
      <x:c r="G142" s="6"/>
      <x:c r="H142" s="6"/>
      <x:c r="I142" s="6"/>
      <x:c r="J142" s="6"/>
      <x:c r="K142" s="6"/>
      <x:c r="L142" s="6"/>
      <x:c r="M142" s="6"/>
      <x:c r="N142" s="6"/>
      <x:c r="O142" s="6"/>
      <x:c r="P142" s="6"/>
      <x:c r="Q142" s="6"/>
    </x:row>
    <x:row r="143" ht="19" customHeight="1">
      <x:c r="A143" s="6"/>
      <x:c r="B143" s="6"/>
      <x:c r="C143" s="6"/>
      <x:c r="D143" s="6"/>
      <x:c r="E143" s="6"/>
      <x:c r="F143" s="6"/>
      <x:c r="G143" s="6"/>
      <x:c r="H143" s="6"/>
      <x:c r="I143" s="6"/>
      <x:c r="J143" s="6"/>
      <x:c r="K143" s="6"/>
      <x:c r="L143" s="6"/>
      <x:c r="M143" s="6"/>
      <x:c r="N143" s="6"/>
      <x:c r="O143" s="6"/>
      <x:c r="P143" s="6"/>
      <x:c r="Q143" s="6"/>
    </x:row>
    <x:row r="144" ht="19" customHeight="1">
      <x:c r="A144" s="6"/>
      <x:c r="B144" s="6"/>
      <x:c r="C144" s="6"/>
      <x:c r="D144" s="6"/>
      <x:c r="E144" s="6"/>
      <x:c r="F144" s="6"/>
      <x:c r="G144" s="6"/>
      <x:c r="H144" s="6"/>
      <x:c r="I144" s="6"/>
      <x:c r="J144" s="6"/>
      <x:c r="K144" s="6"/>
      <x:c r="L144" s="6"/>
      <x:c r="M144" s="6"/>
      <x:c r="N144" s="6"/>
      <x:c r="O144" s="6"/>
      <x:c r="P144" s="6"/>
      <x:c r="Q144" s="6"/>
    </x:row>
    <x:row r="145" ht="19" customHeight="1">
      <x:c r="A145" s="6"/>
      <x:c r="B145" s="6"/>
      <x:c r="C145" s="6"/>
      <x:c r="D145" s="6"/>
      <x:c r="E145" s="6"/>
      <x:c r="F145" s="6"/>
      <x:c r="G145" s="6"/>
      <x:c r="H145" s="6"/>
      <x:c r="I145" s="6"/>
      <x:c r="J145" s="6"/>
      <x:c r="K145" s="6"/>
      <x:c r="L145" s="6"/>
      <x:c r="M145" s="6"/>
      <x:c r="N145" s="6"/>
      <x:c r="O145" s="6"/>
      <x:c r="P145" s="6"/>
      <x:c r="Q145" s="6"/>
    </x:row>
    <x:row r="146" ht="19" customHeight="1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  <x:c r="K146" s="6"/>
      <x:c r="L146" s="6"/>
      <x:c r="M146" s="6"/>
      <x:c r="N146" s="6"/>
      <x:c r="O146" s="6"/>
      <x:c r="P146" s="6"/>
      <x:c r="Q146" s="6"/>
    </x:row>
    <x:row r="147" ht="19" customHeight="1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  <x:c r="K147" s="6"/>
      <x:c r="L147" s="6"/>
      <x:c r="M147" s="6"/>
      <x:c r="N147" s="6"/>
      <x:c r="O147" s="6"/>
      <x:c r="P147" s="6"/>
      <x:c r="Q147" s="6"/>
    </x:row>
    <x:row r="148" ht="19" customHeight="1">
      <x:c r="A148" s="6"/>
      <x:c r="B148" s="6"/>
      <x:c r="C148" s="6"/>
      <x:c r="D148" s="6"/>
      <x:c r="E148" s="6"/>
      <x:c r="F148" s="6"/>
      <x:c r="G148" s="6"/>
      <x:c r="H148" s="6"/>
      <x:c r="I148" s="6"/>
      <x:c r="J148" s="6"/>
      <x:c r="K148" s="6"/>
      <x:c r="L148" s="6"/>
      <x:c r="M148" s="6"/>
      <x:c r="N148" s="6"/>
      <x:c r="O148" s="6"/>
      <x:c r="P148" s="6"/>
      <x:c r="Q148" s="6"/>
    </x:row>
    <x:row r="149" ht="19" customHeight="1">
      <x:c r="A149" s="6"/>
      <x:c r="B149" s="6"/>
      <x:c r="C149" s="6"/>
      <x:c r="D149" s="6"/>
      <x:c r="E149" s="6"/>
      <x:c r="F149" s="6"/>
      <x:c r="G149" s="6"/>
      <x:c r="H149" s="6"/>
      <x:c r="I149" s="6"/>
      <x:c r="J149" s="6"/>
      <x:c r="K149" s="6"/>
      <x:c r="L149" s="6"/>
      <x:c r="M149" s="6"/>
      <x:c r="N149" s="6"/>
      <x:c r="O149" s="6"/>
      <x:c r="P149" s="6"/>
      <x:c r="Q149" s="6"/>
    </x:row>
    <x:row r="150" ht="19" customHeight="1">
      <x:c r="A150" s="6"/>
      <x:c r="B150" s="6"/>
      <x:c r="C150" s="6"/>
      <x:c r="D150" s="6"/>
      <x:c r="E150" s="6"/>
      <x:c r="F150" s="6"/>
      <x:c r="G150" s="6"/>
      <x:c r="H150" s="6"/>
      <x:c r="I150" s="6"/>
      <x:c r="J150" s="6"/>
      <x:c r="K150" s="6"/>
      <x:c r="L150" s="6"/>
      <x:c r="M150" s="6"/>
      <x:c r="N150" s="6"/>
      <x:c r="O150" s="6"/>
      <x:c r="P150" s="6"/>
      <x:c r="Q150" s="6"/>
    </x:row>
    <x:row r="151" ht="19" customHeight="1">
      <x:c r="A151" s="6"/>
      <x:c r="B151" s="6"/>
      <x:c r="C151" s="6"/>
      <x:c r="D151" s="6"/>
      <x:c r="E151" s="6"/>
      <x:c r="F151" s="6"/>
      <x:c r="G151" s="6"/>
      <x:c r="H151" s="6"/>
      <x:c r="I151" s="6"/>
      <x:c r="J151" s="6"/>
      <x:c r="K151" s="6"/>
      <x:c r="L151" s="6"/>
      <x:c r="M151" s="6"/>
      <x:c r="N151" s="6"/>
      <x:c r="O151" s="6"/>
      <x:c r="P151" s="6"/>
      <x:c r="Q151" s="6"/>
    </x:row>
    <x:row r="152" ht="19" customHeight="1">
      <x:c r="A152" s="6"/>
      <x:c r="B152" s="6"/>
      <x:c r="C152" s="6"/>
      <x:c r="D152" s="6"/>
      <x:c r="E152" s="6"/>
      <x:c r="F152" s="6"/>
      <x:c r="G152" s="6"/>
      <x:c r="H152" s="6"/>
      <x:c r="I152" s="6"/>
      <x:c r="J152" s="6"/>
      <x:c r="K152" s="6"/>
      <x:c r="L152" s="6"/>
      <x:c r="M152" s="6"/>
      <x:c r="N152" s="6"/>
      <x:c r="O152" s="6"/>
      <x:c r="P152" s="6"/>
      <x:c r="Q152" s="6"/>
    </x:row>
    <x:row r="153" ht="19" customHeight="1">
      <x:c r="A153" s="6"/>
      <x:c r="B153" s="6"/>
      <x:c r="C153" s="6"/>
      <x:c r="D153" s="6"/>
      <x:c r="E153" s="6"/>
      <x:c r="F153" s="6"/>
      <x:c r="G153" s="6"/>
      <x:c r="H153" s="6"/>
      <x:c r="I153" s="6"/>
      <x:c r="J153" s="6"/>
      <x:c r="K153" s="6"/>
      <x:c r="L153" s="6"/>
      <x:c r="M153" s="6"/>
      <x:c r="N153" s="6"/>
      <x:c r="O153" s="6"/>
      <x:c r="P153" s="6"/>
      <x:c r="Q153" s="6"/>
    </x:row>
    <x:row r="154" ht="19" customHeight="1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  <x:c r="K154" s="6"/>
      <x:c r="L154" s="6"/>
      <x:c r="M154" s="6"/>
      <x:c r="N154" s="6"/>
      <x:c r="O154" s="6"/>
      <x:c r="P154" s="6"/>
      <x:c r="Q154" s="6"/>
    </x:row>
    <x:row r="155" ht="19" customHeight="1">
      <x:c r="A155" s="6"/>
      <x:c r="B155" s="6"/>
      <x:c r="C155" s="6"/>
      <x:c r="D155" s="6"/>
      <x:c r="E155" s="6"/>
      <x:c r="F155" s="6"/>
      <x:c r="G155" s="6"/>
      <x:c r="H155" s="6"/>
      <x:c r="I155" s="6"/>
      <x:c r="J155" s="6"/>
      <x:c r="K155" s="6"/>
      <x:c r="L155" s="6"/>
      <x:c r="M155" s="6"/>
      <x:c r="N155" s="6"/>
      <x:c r="O155" s="6"/>
      <x:c r="P155" s="6"/>
      <x:c r="Q155" s="6"/>
    </x:row>
    <x:row r="156" ht="19" customHeight="1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  <x:c r="K156" s="6"/>
      <x:c r="L156" s="6"/>
      <x:c r="M156" s="6"/>
      <x:c r="N156" s="6"/>
      <x:c r="O156" s="6"/>
      <x:c r="P156" s="6"/>
      <x:c r="Q156" s="6"/>
    </x:row>
    <x:row r="157" ht="19" customHeight="1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  <x:c r="K157" s="6"/>
      <x:c r="L157" s="6"/>
      <x:c r="M157" s="6"/>
      <x:c r="N157" s="6"/>
      <x:c r="O157" s="6"/>
      <x:c r="P157" s="6"/>
      <x:c r="Q157" s="6"/>
    </x:row>
    <x:row r="158" ht="19" customHeight="1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  <x:c r="K158" s="6"/>
      <x:c r="L158" s="6"/>
      <x:c r="M158" s="6"/>
      <x:c r="N158" s="6"/>
      <x:c r="O158" s="6"/>
      <x:c r="P158" s="6"/>
      <x:c r="Q158" s="6"/>
    </x:row>
    <x:row r="159" ht="19" customHeight="1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  <x:c r="K159" s="6"/>
      <x:c r="L159" s="6"/>
      <x:c r="M159" s="6"/>
      <x:c r="N159" s="6"/>
      <x:c r="O159" s="6"/>
      <x:c r="P159" s="6"/>
      <x:c r="Q159" s="6"/>
    </x:row>
    <x:row r="160" ht="19" customHeight="1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  <x:c r="K160" s="6"/>
      <x:c r="L160" s="6"/>
      <x:c r="M160" s="6"/>
      <x:c r="N160" s="6"/>
      <x:c r="O160" s="6"/>
      <x:c r="P160" s="6"/>
      <x:c r="Q160" s="6"/>
    </x:row>
    <x:row r="161" ht="19" customHeight="1">
      <x:c r="A161" s="6"/>
      <x:c r="B161" s="6"/>
      <x:c r="C161" s="6"/>
      <x:c r="D161" s="6"/>
      <x:c r="E161" s="6"/>
      <x:c r="F161" s="6"/>
      <x:c r="G161" s="6"/>
      <x:c r="H161" s="6"/>
      <x:c r="I161" s="6"/>
      <x:c r="J161" s="6"/>
      <x:c r="K161" s="6"/>
      <x:c r="L161" s="6"/>
      <x:c r="M161" s="6"/>
      <x:c r="N161" s="6"/>
      <x:c r="O161" s="6"/>
      <x:c r="P161" s="6"/>
      <x:c r="Q161" s="6"/>
    </x:row>
    <x:row r="162" ht="19" customHeight="1">
      <x:c r="A162" s="6"/>
      <x:c r="B162" s="6"/>
      <x:c r="C162" s="6"/>
      <x:c r="D162" s="6"/>
      <x:c r="E162" s="6"/>
      <x:c r="F162" s="6"/>
      <x:c r="G162" s="6"/>
      <x:c r="H162" s="6"/>
      <x:c r="I162" s="6"/>
      <x:c r="J162" s="6"/>
      <x:c r="K162" s="6"/>
      <x:c r="L162" s="6"/>
      <x:c r="M162" s="6"/>
      <x:c r="N162" s="6"/>
      <x:c r="O162" s="6"/>
      <x:c r="P162" s="6"/>
      <x:c r="Q162" s="6"/>
    </x:row>
    <x:row r="163" ht="19" customHeight="1">
      <x:c r="A163" s="6"/>
      <x:c r="B163" s="6"/>
      <x:c r="C163" s="6"/>
      <x:c r="D163" s="6"/>
      <x:c r="E163" s="6"/>
      <x:c r="F163" s="6"/>
      <x:c r="G163" s="6"/>
      <x:c r="H163" s="6"/>
      <x:c r="I163" s="6"/>
      <x:c r="J163" s="6"/>
      <x:c r="K163" s="6"/>
      <x:c r="L163" s="6"/>
      <x:c r="M163" s="6"/>
      <x:c r="N163" s="6"/>
      <x:c r="O163" s="6"/>
      <x:c r="P163" s="6"/>
      <x:c r="Q163" s="6"/>
    </x:row>
    <x:row r="164" ht="19" customHeight="1">
      <x:c r="A164" s="6"/>
      <x:c r="B164" s="6"/>
      <x:c r="C164" s="6"/>
      <x:c r="D164" s="6"/>
      <x:c r="E164" s="6"/>
      <x:c r="F164" s="6"/>
      <x:c r="G164" s="6"/>
      <x:c r="H164" s="6"/>
      <x:c r="I164" s="6"/>
      <x:c r="J164" s="6"/>
      <x:c r="K164" s="6"/>
      <x:c r="L164" s="6"/>
      <x:c r="M164" s="6"/>
      <x:c r="N164" s="6"/>
      <x:c r="O164" s="6"/>
      <x:c r="P164" s="6"/>
      <x:c r="Q164" s="6"/>
    </x:row>
    <x:row r="165" ht="19" customHeight="1">
      <x:c r="A165" s="6"/>
      <x:c r="B165" s="6"/>
      <x:c r="C165" s="6"/>
      <x:c r="D165" s="6"/>
      <x:c r="E165" s="6"/>
      <x:c r="F165" s="6"/>
      <x:c r="G165" s="6"/>
      <x:c r="H165" s="6"/>
      <x:c r="I165" s="6"/>
      <x:c r="J165" s="6"/>
      <x:c r="K165" s="6"/>
      <x:c r="L165" s="6"/>
      <x:c r="M165" s="6"/>
      <x:c r="N165" s="6"/>
      <x:c r="O165" s="6"/>
      <x:c r="P165" s="6"/>
      <x:c r="Q165" s="6"/>
    </x:row>
    <x:row r="166" ht="19" customHeight="1">
      <x:c r="A166" s="6"/>
      <x:c r="B166" s="6"/>
      <x:c r="C166" s="6"/>
      <x:c r="D166" s="6"/>
      <x:c r="E166" s="6"/>
      <x:c r="F166" s="6"/>
      <x:c r="G166" s="6"/>
      <x:c r="H166" s="6"/>
      <x:c r="I166" s="6"/>
      <x:c r="J166" s="6"/>
      <x:c r="K166" s="6"/>
      <x:c r="L166" s="6"/>
      <x:c r="M166" s="6"/>
      <x:c r="N166" s="6"/>
      <x:c r="O166" s="6"/>
      <x:c r="P166" s="6"/>
      <x:c r="Q166" s="6"/>
    </x:row>
    <x:row r="167" ht="19" customHeight="1">
      <x:c r="A167" s="6"/>
      <x:c r="B167" s="6"/>
      <x:c r="C167" s="6"/>
      <x:c r="D167" s="6"/>
      <x:c r="E167" s="6"/>
      <x:c r="F167" s="6"/>
      <x:c r="G167" s="6"/>
      <x:c r="H167" s="6"/>
      <x:c r="I167" s="6"/>
      <x:c r="J167" s="6"/>
      <x:c r="K167" s="6"/>
      <x:c r="L167" s="6"/>
      <x:c r="M167" s="6"/>
      <x:c r="N167" s="6"/>
      <x:c r="O167" s="6"/>
      <x:c r="P167" s="6"/>
      <x:c r="Q167" s="6"/>
    </x:row>
    <x:row r="168" ht="19" customHeight="1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  <x:c r="K168" s="6"/>
      <x:c r="L168" s="6"/>
      <x:c r="M168" s="6"/>
      <x:c r="N168" s="6"/>
      <x:c r="O168" s="6"/>
      <x:c r="P168" s="6"/>
      <x:c r="Q168" s="6"/>
    </x:row>
    <x:row r="169" ht="19" customHeight="1">
      <x:c r="A169" s="6"/>
      <x:c r="B169" s="6"/>
      <x:c r="C169" s="6"/>
      <x:c r="D169" s="6"/>
      <x:c r="E169" s="6"/>
      <x:c r="F169" s="6"/>
      <x:c r="G169" s="6"/>
      <x:c r="H169" s="6"/>
      <x:c r="I169" s="6"/>
      <x:c r="J169" s="6"/>
      <x:c r="K169" s="6"/>
      <x:c r="L169" s="6"/>
      <x:c r="M169" s="6"/>
      <x:c r="N169" s="6"/>
      <x:c r="O169" s="6"/>
      <x:c r="P169" s="6"/>
      <x:c r="Q169" s="6"/>
    </x:row>
    <x:row r="170" ht="19" customHeight="1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  <x:c r="K170" s="6"/>
      <x:c r="L170" s="6"/>
      <x:c r="M170" s="6"/>
      <x:c r="N170" s="6"/>
      <x:c r="O170" s="6"/>
      <x:c r="P170" s="6"/>
      <x:c r="Q170" s="6"/>
    </x:row>
    <x:row r="171" ht="19" customHeight="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  <x:c r="M171" s="6"/>
      <x:c r="N171" s="6"/>
      <x:c r="O171" s="6"/>
      <x:c r="P171" s="6"/>
      <x:c r="Q171" s="6"/>
    </x:row>
    <x:row r="172" ht="19" customHeight="1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  <x:c r="K172" s="6"/>
      <x:c r="L172" s="6"/>
      <x:c r="M172" s="6"/>
      <x:c r="N172" s="6"/>
      <x:c r="O172" s="6"/>
      <x:c r="P172" s="6"/>
      <x:c r="Q172" s="6"/>
    </x:row>
    <x:row r="173" ht="19" customHeight="1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  <x:c r="K173" s="6"/>
      <x:c r="L173" s="6"/>
      <x:c r="M173" s="6"/>
      <x:c r="N173" s="6"/>
      <x:c r="O173" s="6"/>
      <x:c r="P173" s="6"/>
      <x:c r="Q173" s="6"/>
    </x:row>
    <x:row r="174" ht="19" customHeight="1">
      <x:c r="A174" s="6"/>
      <x:c r="B174" s="6"/>
      <x:c r="C174" s="6"/>
      <x:c r="D174" s="6"/>
      <x:c r="E174" s="6"/>
      <x:c r="F174" s="6"/>
      <x:c r="G174" s="6"/>
      <x:c r="H174" s="6"/>
      <x:c r="I174" s="6"/>
      <x:c r="J174" s="6"/>
      <x:c r="K174" s="6"/>
      <x:c r="L174" s="6"/>
      <x:c r="M174" s="6"/>
      <x:c r="N174" s="6"/>
      <x:c r="O174" s="6"/>
      <x:c r="P174" s="6"/>
      <x:c r="Q174" s="6"/>
    </x:row>
    <x:row r="175" ht="19" customHeight="1">
      <x:c r="A175" s="6"/>
      <x:c r="B175" s="6"/>
      <x:c r="C175" s="6"/>
      <x:c r="D175" s="6"/>
      <x:c r="E175" s="6"/>
      <x:c r="F175" s="6"/>
      <x:c r="G175" s="6"/>
      <x:c r="H175" s="6"/>
      <x:c r="I175" s="6"/>
      <x:c r="J175" s="6"/>
      <x:c r="K175" s="6"/>
      <x:c r="L175" s="6"/>
      <x:c r="M175" s="6"/>
      <x:c r="N175" s="6"/>
      <x:c r="O175" s="6"/>
      <x:c r="P175" s="6"/>
      <x:c r="Q175" s="6"/>
    </x:row>
    <x:row r="176" ht="19" customHeight="1">
      <x:c r="A176" s="6"/>
      <x:c r="B176" s="6"/>
      <x:c r="C176" s="6"/>
      <x:c r="D176" s="6"/>
      <x:c r="E176" s="6"/>
      <x:c r="F176" s="6"/>
      <x:c r="G176" s="6"/>
      <x:c r="H176" s="6"/>
      <x:c r="I176" s="6"/>
      <x:c r="J176" s="6"/>
      <x:c r="K176" s="6"/>
      <x:c r="L176" s="6"/>
      <x:c r="M176" s="6"/>
      <x:c r="N176" s="6"/>
      <x:c r="O176" s="6"/>
      <x:c r="P176" s="6"/>
      <x:c r="Q176" s="6"/>
    </x:row>
    <x:row r="177" ht="19" customHeight="1">
      <x:c r="A177" s="6"/>
      <x:c r="B177" s="6"/>
      <x:c r="C177" s="6"/>
      <x:c r="D177" s="6"/>
      <x:c r="E177" s="6"/>
      <x:c r="F177" s="6"/>
      <x:c r="G177" s="6"/>
      <x:c r="H177" s="6"/>
      <x:c r="I177" s="6"/>
      <x:c r="J177" s="6"/>
      <x:c r="K177" s="6"/>
      <x:c r="L177" s="6"/>
      <x:c r="M177" s="6"/>
      <x:c r="N177" s="6"/>
      <x:c r="O177" s="6"/>
      <x:c r="P177" s="6"/>
      <x:c r="Q177" s="6"/>
    </x:row>
    <x:row r="178" ht="19" customHeight="1">
      <x:c r="A178" s="6"/>
      <x:c r="B178" s="6"/>
      <x:c r="C178" s="6"/>
      <x:c r="D178" s="6"/>
      <x:c r="E178" s="6"/>
      <x:c r="F178" s="6"/>
      <x:c r="G178" s="6"/>
      <x:c r="H178" s="6"/>
      <x:c r="I178" s="6"/>
      <x:c r="J178" s="6"/>
      <x:c r="K178" s="6"/>
      <x:c r="L178" s="6"/>
      <x:c r="M178" s="6"/>
      <x:c r="N178" s="6"/>
      <x:c r="O178" s="6"/>
      <x:c r="P178" s="6"/>
      <x:c r="Q178" s="6"/>
    </x:row>
    <x:row r="179" ht="19" customHeight="1">
      <x:c r="A179" s="6"/>
      <x:c r="B179" s="6"/>
      <x:c r="C179" s="6"/>
      <x:c r="D179" s="6"/>
      <x:c r="E179" s="6"/>
      <x:c r="F179" s="6"/>
      <x:c r="G179" s="6"/>
      <x:c r="H179" s="6"/>
      <x:c r="I179" s="6"/>
      <x:c r="J179" s="6"/>
      <x:c r="K179" s="6"/>
      <x:c r="L179" s="6"/>
      <x:c r="M179" s="6"/>
      <x:c r="N179" s="6"/>
      <x:c r="O179" s="6"/>
      <x:c r="P179" s="6"/>
      <x:c r="Q179" s="6"/>
    </x:row>
    <x:row r="180" ht="19" customHeight="1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  <x:c r="K180" s="6"/>
      <x:c r="L180" s="6"/>
      <x:c r="M180" s="6"/>
      <x:c r="N180" s="6"/>
      <x:c r="O180" s="6"/>
      <x:c r="P180" s="6"/>
      <x:c r="Q180" s="6"/>
    </x:row>
    <x:row r="181" ht="19" customHeight="1">
      <x:c r="A181" s="6"/>
      <x:c r="B181" s="6"/>
      <x:c r="C181" s="6"/>
      <x:c r="D181" s="6"/>
      <x:c r="E181" s="6"/>
      <x:c r="F181" s="6"/>
      <x:c r="G181" s="6"/>
      <x:c r="H181" s="6"/>
      <x:c r="I181" s="6"/>
      <x:c r="J181" s="6"/>
      <x:c r="K181" s="6"/>
      <x:c r="L181" s="6"/>
      <x:c r="M181" s="6"/>
      <x:c r="N181" s="6"/>
      <x:c r="O181" s="6"/>
      <x:c r="P181" s="6"/>
      <x:c r="Q181" s="6"/>
    </x:row>
    <x:row r="182" ht="19" customHeight="1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  <x:c r="K182" s="6"/>
      <x:c r="L182" s="6"/>
      <x:c r="M182" s="6"/>
      <x:c r="N182" s="6"/>
      <x:c r="O182" s="6"/>
      <x:c r="P182" s="6"/>
      <x:c r="Q182" s="6"/>
    </x:row>
    <x:row r="183" ht="19" customHeight="1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  <x:c r="M183" s="6"/>
      <x:c r="N183" s="6"/>
      <x:c r="O183" s="6"/>
      <x:c r="P183" s="6"/>
      <x:c r="Q183" s="6"/>
    </x:row>
    <x:row r="184" ht="19" customHeight="1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  <x:c r="K184" s="6"/>
      <x:c r="L184" s="6"/>
      <x:c r="M184" s="6"/>
      <x:c r="N184" s="6"/>
      <x:c r="O184" s="6"/>
      <x:c r="P184" s="6"/>
      <x:c r="Q184" s="6"/>
    </x:row>
    <x:row r="185" ht="19" customHeight="1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  <x:c r="M185" s="6"/>
      <x:c r="N185" s="6"/>
      <x:c r="O185" s="6"/>
      <x:c r="P185" s="6"/>
      <x:c r="Q185" s="6"/>
    </x:row>
    <x:row r="186" ht="19" customHeight="1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  <x:c r="K186" s="6"/>
      <x:c r="L186" s="6"/>
      <x:c r="M186" s="6"/>
      <x:c r="N186" s="6"/>
      <x:c r="O186" s="6"/>
      <x:c r="P186" s="6"/>
      <x:c r="Q186" s="6"/>
    </x:row>
    <x:row r="187" ht="19" customHeight="1">
      <x:c r="A187" s="6"/>
      <x:c r="B187" s="6"/>
      <x:c r="C187" s="6"/>
      <x:c r="D187" s="6"/>
      <x:c r="E187" s="6"/>
      <x:c r="F187" s="6"/>
      <x:c r="G187" s="6"/>
      <x:c r="H187" s="6"/>
      <x:c r="I187" s="6"/>
      <x:c r="J187" s="6"/>
      <x:c r="K187" s="6"/>
      <x:c r="L187" s="6"/>
      <x:c r="M187" s="6"/>
      <x:c r="N187" s="6"/>
      <x:c r="O187" s="6"/>
      <x:c r="P187" s="6"/>
      <x:c r="Q187" s="6"/>
    </x:row>
    <x:row r="188" ht="19" customHeight="1">
      <x:c r="A188" s="6"/>
      <x:c r="B188" s="6"/>
      <x:c r="C188" s="6"/>
      <x:c r="D188" s="6"/>
      <x:c r="E188" s="6"/>
      <x:c r="F188" s="6"/>
      <x:c r="G188" s="6"/>
      <x:c r="H188" s="6"/>
      <x:c r="I188" s="6"/>
      <x:c r="J188" s="6"/>
      <x:c r="K188" s="6"/>
      <x:c r="L188" s="6"/>
      <x:c r="M188" s="6"/>
      <x:c r="N188" s="6"/>
      <x:c r="O188" s="6"/>
      <x:c r="P188" s="6"/>
      <x:c r="Q188" s="6"/>
    </x:row>
    <x:row r="189" ht="19" customHeight="1">
      <x:c r="A189" s="6"/>
      <x:c r="B189" s="6"/>
      <x:c r="C189" s="6"/>
      <x:c r="D189" s="6"/>
      <x:c r="E189" s="6"/>
      <x:c r="F189" s="6"/>
      <x:c r="G189" s="6"/>
      <x:c r="H189" s="6"/>
      <x:c r="I189" s="6"/>
      <x:c r="J189" s="6"/>
      <x:c r="K189" s="6"/>
      <x:c r="L189" s="6"/>
      <x:c r="M189" s="6"/>
      <x:c r="N189" s="6"/>
      <x:c r="O189" s="6"/>
      <x:c r="P189" s="6"/>
      <x:c r="Q189" s="6"/>
    </x:row>
    <x:row r="190" ht="19" customHeight="1">
      <x:c r="A190" s="6"/>
      <x:c r="B190" s="6"/>
      <x:c r="C190" s="6"/>
      <x:c r="D190" s="6"/>
      <x:c r="E190" s="6"/>
      <x:c r="F190" s="6"/>
      <x:c r="G190" s="6"/>
      <x:c r="H190" s="6"/>
      <x:c r="I190" s="6"/>
      <x:c r="J190" s="6"/>
      <x:c r="K190" s="6"/>
      <x:c r="L190" s="6"/>
      <x:c r="M190" s="6"/>
      <x:c r="N190" s="6"/>
      <x:c r="O190" s="6"/>
      <x:c r="P190" s="6"/>
      <x:c r="Q190" s="6"/>
    </x:row>
    <x:row r="191" ht="19" customHeight="1">
      <x:c r="A191" s="6"/>
      <x:c r="B191" s="6"/>
      <x:c r="C191" s="6"/>
      <x:c r="D191" s="6"/>
      <x:c r="E191" s="6"/>
      <x:c r="F191" s="6"/>
      <x:c r="G191" s="6"/>
      <x:c r="H191" s="6"/>
      <x:c r="I191" s="6"/>
      <x:c r="J191" s="6"/>
      <x:c r="K191" s="6"/>
      <x:c r="L191" s="6"/>
      <x:c r="M191" s="6"/>
      <x:c r="N191" s="6"/>
      <x:c r="O191" s="6"/>
      <x:c r="P191" s="6"/>
      <x:c r="Q191" s="6"/>
    </x:row>
    <x:row r="192" ht="19" customHeight="1">
      <x:c r="A192" s="6"/>
      <x:c r="B192" s="6"/>
      <x:c r="C192" s="6"/>
      <x:c r="D192" s="6"/>
      <x:c r="E192" s="6"/>
      <x:c r="F192" s="6"/>
      <x:c r="G192" s="6"/>
      <x:c r="H192" s="6"/>
      <x:c r="I192" s="6"/>
      <x:c r="J192" s="6"/>
      <x:c r="K192" s="6"/>
      <x:c r="L192" s="6"/>
      <x:c r="M192" s="6"/>
      <x:c r="N192" s="6"/>
      <x:c r="O192" s="6"/>
      <x:c r="P192" s="6"/>
      <x:c r="Q192" s="6"/>
    </x:row>
    <x:row r="193" ht="19" customHeight="1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  <x:c r="M193" s="6"/>
      <x:c r="N193" s="6"/>
      <x:c r="O193" s="6"/>
      <x:c r="P193" s="6"/>
      <x:c r="Q193" s="6"/>
    </x:row>
    <x:row r="194" ht="19" customHeight="1">
      <x:c r="A194" s="6"/>
      <x:c r="B194" s="6"/>
      <x:c r="C194" s="6"/>
      <x:c r="D194" s="6"/>
      <x:c r="E194" s="6"/>
      <x:c r="F194" s="6"/>
      <x:c r="G194" s="6"/>
      <x:c r="H194" s="6"/>
      <x:c r="I194" s="6"/>
      <x:c r="J194" s="6"/>
      <x:c r="K194" s="6"/>
      <x:c r="L194" s="6"/>
      <x:c r="M194" s="6"/>
      <x:c r="N194" s="6"/>
      <x:c r="O194" s="6"/>
      <x:c r="P194" s="6"/>
      <x:c r="Q194" s="6"/>
    </x:row>
    <x:row r="195" ht="19" customHeight="1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  <x:c r="M195" s="6"/>
      <x:c r="N195" s="6"/>
      <x:c r="O195" s="6"/>
      <x:c r="P195" s="6"/>
      <x:c r="Q195" s="6"/>
    </x:row>
    <x:row r="196" ht="19" customHeight="1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  <x:c r="K196" s="6"/>
      <x:c r="L196" s="6"/>
      <x:c r="M196" s="6"/>
      <x:c r="N196" s="6"/>
      <x:c r="O196" s="6"/>
      <x:c r="P196" s="6"/>
      <x:c r="Q196" s="6"/>
    </x:row>
    <x:row r="197" ht="19" customHeight="1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  <x:c r="K197" s="6"/>
      <x:c r="L197" s="6"/>
      <x:c r="M197" s="6"/>
      <x:c r="N197" s="6"/>
      <x:c r="O197" s="6"/>
      <x:c r="P197" s="6"/>
      <x:c r="Q197" s="6"/>
    </x:row>
    <x:row r="198" ht="19" customHeight="1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  <x:c r="K198" s="6"/>
      <x:c r="L198" s="6"/>
      <x:c r="M198" s="6"/>
      <x:c r="N198" s="6"/>
      <x:c r="O198" s="6"/>
      <x:c r="P198" s="6"/>
      <x:c r="Q198" s="6"/>
    </x:row>
    <x:row r="199" ht="19" customHeight="1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  <x:c r="K199" s="6"/>
      <x:c r="L199" s="6"/>
      <x:c r="M199" s="6"/>
      <x:c r="N199" s="6"/>
      <x:c r="O199" s="6"/>
      <x:c r="P199" s="6"/>
      <x:c r="Q199" s="6"/>
    </x:row>
    <x:row r="200" ht="19" customHeight="1">
      <x:c r="A200" s="6"/>
      <x:c r="B200" s="6"/>
      <x:c r="C200" s="6"/>
      <x:c r="D200" s="6"/>
      <x:c r="E200" s="6"/>
      <x:c r="F200" s="6"/>
      <x:c r="G200" s="6"/>
      <x:c r="H200" s="6"/>
      <x:c r="I200" s="6"/>
      <x:c r="J200" s="6"/>
      <x:c r="K200" s="6"/>
      <x:c r="L200" s="6"/>
      <x:c r="M200" s="6"/>
      <x:c r="N200" s="6"/>
      <x:c r="O200" s="6"/>
      <x:c r="P200" s="6"/>
      <x:c r="Q200" s="6"/>
    </x:row>
    <x:row r="201" ht="19" customHeight="1">
      <x:c r="A201" s="6"/>
      <x:c r="B201" s="6"/>
      <x:c r="C201" s="6"/>
      <x:c r="D201" s="6"/>
      <x:c r="E201" s="6"/>
      <x:c r="F201" s="6"/>
      <x:c r="G201" s="6"/>
      <x:c r="H201" s="6"/>
      <x:c r="I201" s="6"/>
      <x:c r="J201" s="6"/>
      <x:c r="K201" s="6"/>
      <x:c r="L201" s="6"/>
      <x:c r="M201" s="6"/>
      <x:c r="N201" s="6"/>
      <x:c r="O201" s="6"/>
      <x:c r="P201" s="6"/>
      <x:c r="Q201" s="6"/>
    </x:row>
    <x:row r="202" ht="19" customHeight="1">
      <x:c r="A202" s="6"/>
      <x:c r="B202" s="6"/>
      <x:c r="C202" s="6"/>
      <x:c r="D202" s="6"/>
      <x:c r="E202" s="6"/>
      <x:c r="F202" s="6"/>
      <x:c r="G202" s="6"/>
      <x:c r="H202" s="6"/>
      <x:c r="I202" s="6"/>
      <x:c r="J202" s="6"/>
      <x:c r="K202" s="6"/>
      <x:c r="L202" s="6"/>
      <x:c r="M202" s="6"/>
      <x:c r="N202" s="6"/>
      <x:c r="O202" s="6"/>
      <x:c r="P202" s="6"/>
      <x:c r="Q202" s="6"/>
    </x:row>
    <x:row r="203" ht="19" customHeight="1">
      <x:c r="A203" s="6"/>
      <x:c r="B203" s="6"/>
      <x:c r="C203" s="6"/>
      <x:c r="D203" s="6"/>
      <x:c r="E203" s="6"/>
      <x:c r="F203" s="6"/>
      <x:c r="G203" s="6"/>
      <x:c r="H203" s="6"/>
      <x:c r="I203" s="6"/>
      <x:c r="J203" s="6"/>
      <x:c r="K203" s="6"/>
      <x:c r="L203" s="6"/>
      <x:c r="M203" s="6"/>
      <x:c r="N203" s="6"/>
      <x:c r="O203" s="6"/>
      <x:c r="P203" s="6"/>
      <x:c r="Q203" s="6"/>
    </x:row>
    <x:row r="204" ht="19" customHeight="1">
      <x:c r="A204" s="6"/>
      <x:c r="B204" s="6"/>
      <x:c r="C204" s="6"/>
      <x:c r="D204" s="6"/>
      <x:c r="E204" s="6"/>
      <x:c r="F204" s="6"/>
      <x:c r="G204" s="6"/>
      <x:c r="H204" s="6"/>
      <x:c r="I204" s="6"/>
      <x:c r="J204" s="6"/>
      <x:c r="K204" s="6"/>
      <x:c r="L204" s="6"/>
      <x:c r="M204" s="6"/>
      <x:c r="N204" s="6"/>
      <x:c r="O204" s="6"/>
      <x:c r="P204" s="6"/>
      <x:c r="Q204" s="6"/>
    </x:row>
    <x:row r="205" ht="19" customHeight="1">
      <x:c r="A205" s="6"/>
      <x:c r="B205" s="6"/>
      <x:c r="C205" s="6"/>
      <x:c r="D205" s="6"/>
      <x:c r="E205" s="6"/>
      <x:c r="F205" s="6"/>
      <x:c r="G205" s="6"/>
      <x:c r="H205" s="6"/>
      <x:c r="I205" s="6"/>
      <x:c r="J205" s="6"/>
      <x:c r="K205" s="6"/>
      <x:c r="L205" s="6"/>
      <x:c r="M205" s="6"/>
      <x:c r="N205" s="6"/>
      <x:c r="O205" s="6"/>
      <x:c r="P205" s="6"/>
      <x:c r="Q205" s="6"/>
    </x:row>
    <x:row r="206" ht="19" customHeight="1">
      <x:c r="A206" s="6"/>
      <x:c r="B206" s="6"/>
      <x:c r="C206" s="6"/>
      <x:c r="D206" s="6"/>
      <x:c r="E206" s="6"/>
      <x:c r="F206" s="6"/>
      <x:c r="G206" s="6"/>
      <x:c r="H206" s="6"/>
      <x:c r="I206" s="6"/>
      <x:c r="J206" s="6"/>
      <x:c r="K206" s="6"/>
      <x:c r="L206" s="6"/>
      <x:c r="M206" s="6"/>
      <x:c r="N206" s="6"/>
      <x:c r="O206" s="6"/>
      <x:c r="P206" s="6"/>
      <x:c r="Q206" s="6"/>
    </x:row>
    <x:row r="207" ht="19" customHeight="1">
      <x:c r="A207" s="6"/>
      <x:c r="B207" s="6"/>
      <x:c r="C207" s="6"/>
      <x:c r="D207" s="6"/>
      <x:c r="E207" s="6"/>
      <x:c r="F207" s="6"/>
      <x:c r="G207" s="6"/>
      <x:c r="H207" s="6"/>
      <x:c r="I207" s="6"/>
      <x:c r="J207" s="6"/>
      <x:c r="K207" s="6"/>
      <x:c r="L207" s="6"/>
      <x:c r="M207" s="6"/>
      <x:c r="N207" s="6"/>
      <x:c r="O207" s="6"/>
      <x:c r="P207" s="6"/>
      <x:c r="Q207" s="6"/>
    </x:row>
    <x:row r="208" ht="19" customHeight="1">
      <x:c r="A208" s="6"/>
      <x:c r="B208" s="6"/>
      <x:c r="C208" s="6"/>
      <x:c r="D208" s="6"/>
      <x:c r="E208" s="6"/>
      <x:c r="F208" s="6"/>
      <x:c r="G208" s="6"/>
      <x:c r="H208" s="6"/>
      <x:c r="I208" s="6"/>
      <x:c r="J208" s="6"/>
      <x:c r="K208" s="6"/>
      <x:c r="L208" s="6"/>
      <x:c r="M208" s="6"/>
      <x:c r="N208" s="6"/>
      <x:c r="O208" s="6"/>
      <x:c r="P208" s="6"/>
      <x:c r="Q208" s="6"/>
    </x:row>
    <x:row r="209" ht="19" customHeight="1">
      <x:c r="A209" s="6"/>
      <x:c r="B209" s="6"/>
      <x:c r="C209" s="6"/>
      <x:c r="D209" s="6"/>
      <x:c r="E209" s="6"/>
      <x:c r="F209" s="6"/>
      <x:c r="G209" s="6"/>
      <x:c r="H209" s="6"/>
      <x:c r="I209" s="6"/>
      <x:c r="J209" s="6"/>
      <x:c r="K209" s="6"/>
      <x:c r="L209" s="6"/>
      <x:c r="M209" s="6"/>
      <x:c r="N209" s="6"/>
      <x:c r="O209" s="6"/>
      <x:c r="P209" s="6"/>
      <x:c r="Q209" s="6"/>
    </x:row>
    <x:row r="210" ht="19" customHeight="1">
      <x:c r="A210" s="6"/>
      <x:c r="B210" s="6"/>
      <x:c r="C210" s="6"/>
      <x:c r="D210" s="6"/>
      <x:c r="E210" s="6"/>
      <x:c r="F210" s="6"/>
      <x:c r="G210" s="6"/>
      <x:c r="H210" s="6"/>
      <x:c r="I210" s="6"/>
      <x:c r="J210" s="6"/>
      <x:c r="K210" s="6"/>
      <x:c r="L210" s="6"/>
      <x:c r="M210" s="6"/>
      <x:c r="N210" s="6"/>
      <x:c r="O210" s="6"/>
      <x:c r="P210" s="6"/>
      <x:c r="Q210" s="6"/>
    </x:row>
    <x:row r="211" ht="19" customHeight="1">
      <x:c r="A211" s="6"/>
      <x:c r="B211" s="6"/>
      <x:c r="C211" s="6"/>
      <x:c r="D211" s="6"/>
      <x:c r="E211" s="6"/>
      <x:c r="F211" s="6"/>
      <x:c r="G211" s="6"/>
      <x:c r="H211" s="6"/>
      <x:c r="I211" s="6"/>
      <x:c r="J211" s="6"/>
      <x:c r="K211" s="6"/>
      <x:c r="L211" s="6"/>
      <x:c r="M211" s="6"/>
      <x:c r="N211" s="6"/>
      <x:c r="O211" s="6"/>
      <x:c r="P211" s="6"/>
      <x:c r="Q211" s="6"/>
    </x:row>
    <x:row r="212" ht="19" customHeight="1">
      <x:c r="A212" s="6"/>
      <x:c r="B212" s="6"/>
      <x:c r="C212" s="6"/>
      <x:c r="D212" s="6"/>
      <x:c r="E212" s="6"/>
      <x:c r="F212" s="6"/>
      <x:c r="G212" s="6"/>
      <x:c r="H212" s="6"/>
      <x:c r="I212" s="6"/>
      <x:c r="J212" s="6"/>
      <x:c r="K212" s="6"/>
      <x:c r="L212" s="6"/>
      <x:c r="M212" s="6"/>
      <x:c r="N212" s="6"/>
      <x:c r="O212" s="6"/>
      <x:c r="P212" s="6"/>
      <x:c r="Q212" s="6"/>
    </x:row>
    <x:row r="213" ht="19" customHeight="1">
      <x:c r="A213" s="6"/>
      <x:c r="B213" s="6"/>
      <x:c r="C213" s="6"/>
      <x:c r="D213" s="6"/>
      <x:c r="E213" s="6"/>
      <x:c r="F213" s="6"/>
      <x:c r="G213" s="6"/>
      <x:c r="H213" s="6"/>
      <x:c r="I213" s="6"/>
      <x:c r="J213" s="6"/>
      <x:c r="K213" s="6"/>
      <x:c r="L213" s="6"/>
      <x:c r="M213" s="6"/>
      <x:c r="N213" s="6"/>
      <x:c r="O213" s="6"/>
      <x:c r="P213" s="6"/>
      <x:c r="Q213" s="6"/>
    </x:row>
    <x:row r="214" ht="19" customHeight="1">
      <x:c r="A214" s="6"/>
      <x:c r="B214" s="6"/>
      <x:c r="C214" s="6"/>
      <x:c r="D214" s="6"/>
      <x:c r="E214" s="6"/>
      <x:c r="F214" s="6"/>
      <x:c r="G214" s="6"/>
      <x:c r="H214" s="6"/>
      <x:c r="I214" s="6"/>
      <x:c r="J214" s="6"/>
      <x:c r="K214" s="6"/>
      <x:c r="L214" s="6"/>
      <x:c r="M214" s="6"/>
      <x:c r="N214" s="6"/>
      <x:c r="O214" s="6"/>
      <x:c r="P214" s="6"/>
      <x:c r="Q214" s="6"/>
    </x:row>
    <x:row r="215" ht="19" customHeight="1">
      <x:c r="A215" s="6"/>
      <x:c r="B215" s="6"/>
      <x:c r="C215" s="6"/>
      <x:c r="D215" s="6"/>
      <x:c r="E215" s="6"/>
      <x:c r="F215" s="6"/>
      <x:c r="G215" s="6"/>
      <x:c r="H215" s="6"/>
      <x:c r="I215" s="6"/>
      <x:c r="J215" s="6"/>
      <x:c r="K215" s="6"/>
      <x:c r="L215" s="6"/>
      <x:c r="M215" s="6"/>
      <x:c r="N215" s="6"/>
      <x:c r="O215" s="6"/>
      <x:c r="P215" s="6"/>
      <x:c r="Q215" s="6"/>
    </x:row>
    <x:row r="216" ht="19" customHeight="1">
      <x:c r="A216" s="6"/>
      <x:c r="B216" s="6"/>
      <x:c r="C216" s="6"/>
      <x:c r="D216" s="6"/>
      <x:c r="E216" s="6"/>
      <x:c r="F216" s="6"/>
      <x:c r="G216" s="6"/>
      <x:c r="H216" s="6"/>
      <x:c r="I216" s="6"/>
      <x:c r="J216" s="6"/>
      <x:c r="K216" s="6"/>
      <x:c r="L216" s="6"/>
      <x:c r="M216" s="6"/>
      <x:c r="N216" s="6"/>
      <x:c r="O216" s="6"/>
      <x:c r="P216" s="6"/>
      <x:c r="Q216" s="6"/>
    </x:row>
    <x:row r="217" ht="19" customHeight="1">
      <x:c r="A217" s="6"/>
      <x:c r="B217" s="6"/>
      <x:c r="C217" s="6"/>
      <x:c r="D217" s="6"/>
      <x:c r="E217" s="6"/>
      <x:c r="F217" s="6"/>
      <x:c r="G217" s="6"/>
      <x:c r="H217" s="6"/>
      <x:c r="I217" s="6"/>
      <x:c r="J217" s="6"/>
      <x:c r="K217" s="6"/>
      <x:c r="L217" s="6"/>
      <x:c r="M217" s="6"/>
      <x:c r="N217" s="6"/>
      <x:c r="O217" s="6"/>
      <x:c r="P217" s="6"/>
      <x:c r="Q217" s="6"/>
    </x:row>
    <x:row r="218" ht="19" customHeight="1">
      <x:c r="A218" s="6"/>
      <x:c r="B218" s="6"/>
      <x:c r="C218" s="6"/>
      <x:c r="D218" s="6"/>
      <x:c r="E218" s="6"/>
      <x:c r="F218" s="6"/>
      <x:c r="G218" s="6"/>
      <x:c r="H218" s="6"/>
      <x:c r="I218" s="6"/>
      <x:c r="J218" s="6"/>
      <x:c r="K218" s="6"/>
      <x:c r="L218" s="6"/>
      <x:c r="M218" s="6"/>
      <x:c r="N218" s="6"/>
      <x:c r="O218" s="6"/>
      <x:c r="P218" s="6"/>
      <x:c r="Q218" s="6"/>
    </x:row>
    <x:row r="219" ht="19" customHeight="1">
      <x:c r="A219" s="6"/>
      <x:c r="B219" s="6"/>
      <x:c r="C219" s="6"/>
      <x:c r="D219" s="6"/>
      <x:c r="E219" s="6"/>
      <x:c r="F219" s="6"/>
      <x:c r="G219" s="6"/>
      <x:c r="H219" s="6"/>
      <x:c r="I219" s="6"/>
      <x:c r="J219" s="6"/>
      <x:c r="K219" s="6"/>
      <x:c r="L219" s="6"/>
      <x:c r="M219" s="6"/>
      <x:c r="N219" s="6"/>
      <x:c r="O219" s="6"/>
      <x:c r="P219" s="6"/>
      <x:c r="Q219" s="6"/>
    </x:row>
    <x:row r="220" ht="19" customHeight="1">
      <x:c r="A220" s="6"/>
      <x:c r="B220" s="6"/>
      <x:c r="C220" s="6"/>
      <x:c r="D220" s="6"/>
      <x:c r="E220" s="6"/>
      <x:c r="F220" s="6"/>
      <x:c r="G220" s="6"/>
      <x:c r="H220" s="6"/>
      <x:c r="I220" s="6"/>
      <x:c r="J220" s="6"/>
      <x:c r="K220" s="6"/>
      <x:c r="L220" s="6"/>
      <x:c r="M220" s="6"/>
      <x:c r="N220" s="6"/>
      <x:c r="O220" s="6"/>
      <x:c r="P220" s="6"/>
      <x:c r="Q220" s="6"/>
    </x:row>
    <x:row r="221" ht="19" customHeight="1">
      <x:c r="A221" s="6"/>
      <x:c r="B221" s="6"/>
      <x:c r="C221" s="6"/>
      <x:c r="D221" s="6"/>
      <x:c r="E221" s="6"/>
      <x:c r="F221" s="6"/>
      <x:c r="G221" s="6"/>
      <x:c r="H221" s="6"/>
      <x:c r="I221" s="6"/>
      <x:c r="J221" s="6"/>
      <x:c r="K221" s="6"/>
      <x:c r="L221" s="6"/>
      <x:c r="M221" s="6"/>
      <x:c r="N221" s="6"/>
      <x:c r="O221" s="6"/>
      <x:c r="P221" s="6"/>
      <x:c r="Q221" s="6"/>
    </x:row>
    <x:row r="222" ht="19" customHeight="1">
      <x:c r="A222" s="6"/>
      <x:c r="B222" s="6"/>
      <x:c r="C222" s="6"/>
      <x:c r="D222" s="6"/>
      <x:c r="E222" s="6"/>
      <x:c r="F222" s="6"/>
      <x:c r="G222" s="6"/>
      <x:c r="H222" s="6"/>
      <x:c r="I222" s="6"/>
      <x:c r="J222" s="6"/>
      <x:c r="K222" s="6"/>
      <x:c r="L222" s="6"/>
      <x:c r="M222" s="6"/>
      <x:c r="N222" s="6"/>
      <x:c r="O222" s="6"/>
      <x:c r="P222" s="6"/>
      <x:c r="Q222" s="6"/>
    </x:row>
    <x:row r="223" ht="19" customHeight="1">
      <x:c r="A223" s="6"/>
      <x:c r="B223" s="6"/>
      <x:c r="C223" s="6"/>
      <x:c r="D223" s="6"/>
      <x:c r="E223" s="6"/>
      <x:c r="F223" s="6"/>
      <x:c r="G223" s="6"/>
      <x:c r="H223" s="6"/>
      <x:c r="I223" s="6"/>
      <x:c r="J223" s="6"/>
      <x:c r="K223" s="6"/>
      <x:c r="L223" s="6"/>
      <x:c r="M223" s="6"/>
      <x:c r="N223" s="6"/>
      <x:c r="O223" s="6"/>
      <x:c r="P223" s="6"/>
      <x:c r="Q223" s="6"/>
    </x:row>
    <x:row r="224" ht="19" customHeight="1">
      <x:c r="A224" s="6"/>
      <x:c r="B224" s="6"/>
      <x:c r="C224" s="6"/>
      <x:c r="D224" s="6"/>
      <x:c r="E224" s="6"/>
      <x:c r="F224" s="6"/>
      <x:c r="G224" s="6"/>
      <x:c r="H224" s="6"/>
      <x:c r="I224" s="6"/>
      <x:c r="J224" s="6"/>
      <x:c r="K224" s="6"/>
      <x:c r="L224" s="6"/>
      <x:c r="M224" s="6"/>
      <x:c r="N224" s="6"/>
      <x:c r="O224" s="6"/>
      <x:c r="P224" s="6"/>
      <x:c r="Q224" s="6"/>
    </x:row>
    <x:row r="225" ht="19" customHeight="1">
      <x:c r="A225" s="6"/>
      <x:c r="B225" s="6"/>
      <x:c r="C225" s="6"/>
      <x:c r="D225" s="6"/>
      <x:c r="E225" s="6"/>
      <x:c r="F225" s="6"/>
      <x:c r="G225" s="6"/>
      <x:c r="H225" s="6"/>
      <x:c r="I225" s="6"/>
      <x:c r="J225" s="6"/>
      <x:c r="K225" s="6"/>
      <x:c r="L225" s="6"/>
      <x:c r="M225" s="6"/>
      <x:c r="N225" s="6"/>
      <x:c r="O225" s="6"/>
      <x:c r="P225" s="6"/>
      <x:c r="Q225" s="6"/>
    </x:row>
    <x:row r="226" ht="19" customHeight="1">
      <x:c r="A226" s="6"/>
      <x:c r="B226" s="6"/>
      <x:c r="C226" s="6"/>
      <x:c r="D226" s="6"/>
      <x:c r="E226" s="6"/>
      <x:c r="F226" s="6"/>
      <x:c r="G226" s="6"/>
      <x:c r="H226" s="6"/>
      <x:c r="I226" s="6"/>
      <x:c r="J226" s="6"/>
      <x:c r="K226" s="6"/>
      <x:c r="L226" s="6"/>
      <x:c r="M226" s="6"/>
      <x:c r="N226" s="6"/>
      <x:c r="O226" s="6"/>
      <x:c r="P226" s="6"/>
      <x:c r="Q226" s="6"/>
    </x:row>
    <x:row r="227" ht="19" customHeight="1">
      <x:c r="A227" s="6"/>
      <x:c r="B227" s="6"/>
      <x:c r="C227" s="6"/>
      <x:c r="D227" s="6"/>
      <x:c r="E227" s="6"/>
      <x:c r="F227" s="6"/>
      <x:c r="G227" s="6"/>
      <x:c r="H227" s="6"/>
      <x:c r="I227" s="6"/>
      <x:c r="J227" s="6"/>
      <x:c r="K227" s="6"/>
      <x:c r="L227" s="6"/>
      <x:c r="M227" s="6"/>
      <x:c r="N227" s="6"/>
      <x:c r="O227" s="6"/>
      <x:c r="P227" s="6"/>
      <x:c r="Q227" s="6"/>
    </x:row>
    <x:row r="228" ht="19" customHeight="1">
      <x:c r="A228" s="6"/>
      <x:c r="B228" s="6"/>
      <x:c r="C228" s="6"/>
      <x:c r="D228" s="6"/>
      <x:c r="E228" s="6"/>
      <x:c r="F228" s="6"/>
      <x:c r="G228" s="6"/>
      <x:c r="H228" s="6"/>
      <x:c r="I228" s="6"/>
      <x:c r="J228" s="6"/>
      <x:c r="K228" s="6"/>
      <x:c r="L228" s="6"/>
      <x:c r="M228" s="6"/>
      <x:c r="N228" s="6"/>
      <x:c r="O228" s="6"/>
      <x:c r="P228" s="6"/>
      <x:c r="Q228" s="6"/>
    </x:row>
    <x:row r="229" ht="19" customHeight="1">
      <x:c r="A229" s="6"/>
      <x:c r="B229" s="6"/>
      <x:c r="C229" s="6"/>
      <x:c r="D229" s="6"/>
      <x:c r="E229" s="6"/>
      <x:c r="F229" s="6"/>
      <x:c r="G229" s="6"/>
      <x:c r="H229" s="6"/>
      <x:c r="I229" s="6"/>
      <x:c r="J229" s="6"/>
      <x:c r="K229" s="6"/>
      <x:c r="L229" s="6"/>
      <x:c r="M229" s="6"/>
      <x:c r="N229" s="6"/>
      <x:c r="O229" s="6"/>
      <x:c r="P229" s="6"/>
      <x:c r="Q229" s="6"/>
    </x:row>
    <x:row r="230" ht="19" customHeight="1">
      <x:c r="A230" s="6"/>
      <x:c r="B230" s="6"/>
      <x:c r="C230" s="6"/>
      <x:c r="D230" s="6"/>
      <x:c r="E230" s="6"/>
      <x:c r="F230" s="6"/>
      <x:c r="G230" s="6"/>
      <x:c r="H230" s="6"/>
      <x:c r="I230" s="6"/>
      <x:c r="J230" s="6"/>
      <x:c r="K230" s="6"/>
      <x:c r="L230" s="6"/>
      <x:c r="M230" s="6"/>
      <x:c r="N230" s="6"/>
      <x:c r="O230" s="6"/>
      <x:c r="P230" s="6"/>
      <x:c r="Q230" s="6"/>
    </x:row>
    <x:row r="231" ht="19" customHeight="1">
      <x:c r="A231" s="6"/>
      <x:c r="B231" s="6"/>
      <x:c r="C231" s="6"/>
      <x:c r="D231" s="6"/>
      <x:c r="E231" s="6"/>
      <x:c r="F231" s="6"/>
      <x:c r="G231" s="6"/>
      <x:c r="H231" s="6"/>
      <x:c r="I231" s="6"/>
      <x:c r="J231" s="6"/>
      <x:c r="K231" s="6"/>
      <x:c r="L231" s="6"/>
      <x:c r="M231" s="6"/>
      <x:c r="N231" s="6"/>
      <x:c r="O231" s="6"/>
      <x:c r="P231" s="6"/>
      <x:c r="Q231" s="6"/>
    </x:row>
    <x:row r="232" ht="19" customHeight="1">
      <x:c r="A232" s="6"/>
      <x:c r="B232" s="6"/>
      <x:c r="C232" s="6"/>
      <x:c r="D232" s="6"/>
      <x:c r="E232" s="6"/>
      <x:c r="F232" s="6"/>
      <x:c r="G232" s="6"/>
      <x:c r="H232" s="6"/>
      <x:c r="I232" s="6"/>
      <x:c r="J232" s="6"/>
      <x:c r="K232" s="6"/>
      <x:c r="L232" s="6"/>
      <x:c r="M232" s="6"/>
      <x:c r="N232" s="6"/>
      <x:c r="O232" s="6"/>
      <x:c r="P232" s="6"/>
      <x:c r="Q232" s="6"/>
    </x:row>
    <x:row r="233" ht="19" customHeight="1">
      <x:c r="A233" s="6"/>
      <x:c r="B233" s="6"/>
      <x:c r="C233" s="6"/>
      <x:c r="D233" s="6"/>
      <x:c r="E233" s="6"/>
      <x:c r="F233" s="6"/>
      <x:c r="G233" s="6"/>
      <x:c r="H233" s="6"/>
      <x:c r="I233" s="6"/>
      <x:c r="J233" s="6"/>
      <x:c r="K233" s="6"/>
      <x:c r="L233" s="6"/>
      <x:c r="M233" s="6"/>
      <x:c r="N233" s="6"/>
      <x:c r="O233" s="6"/>
      <x:c r="P233" s="6"/>
      <x:c r="Q233" s="6"/>
    </x:row>
    <x:row r="234" ht="19" customHeight="1">
      <x:c r="A234" s="6"/>
      <x:c r="B234" s="6"/>
      <x:c r="C234" s="6"/>
      <x:c r="D234" s="6"/>
      <x:c r="E234" s="6"/>
      <x:c r="F234" s="6"/>
      <x:c r="G234" s="6"/>
      <x:c r="H234" s="6"/>
      <x:c r="I234" s="6"/>
      <x:c r="J234" s="6"/>
      <x:c r="K234" s="6"/>
      <x:c r="L234" s="6"/>
      <x:c r="M234" s="6"/>
      <x:c r="N234" s="6"/>
      <x:c r="O234" s="6"/>
      <x:c r="P234" s="6"/>
      <x:c r="Q234" s="6"/>
    </x:row>
    <x:row r="235" ht="19" customHeight="1">
      <x:c r="A235" s="6"/>
      <x:c r="B235" s="6"/>
      <x:c r="C235" s="6"/>
      <x:c r="D235" s="6"/>
      <x:c r="E235" s="6"/>
      <x:c r="F235" s="6"/>
      <x:c r="G235" s="6"/>
      <x:c r="H235" s="6"/>
      <x:c r="I235" s="6"/>
      <x:c r="J235" s="6"/>
      <x:c r="K235" s="6"/>
      <x:c r="L235" s="6"/>
      <x:c r="M235" s="6"/>
      <x:c r="N235" s="6"/>
      <x:c r="O235" s="6"/>
      <x:c r="P235" s="6"/>
      <x:c r="Q235" s="6"/>
    </x:row>
    <x:row r="236" ht="19" customHeight="1">
      <x:c r="A236" s="6"/>
      <x:c r="B236" s="6"/>
      <x:c r="C236" s="6"/>
      <x:c r="D236" s="6"/>
      <x:c r="E236" s="6"/>
      <x:c r="F236" s="6"/>
      <x:c r="G236" s="6"/>
      <x:c r="H236" s="6"/>
      <x:c r="I236" s="6"/>
      <x:c r="J236" s="6"/>
      <x:c r="K236" s="6"/>
      <x:c r="L236" s="6"/>
      <x:c r="M236" s="6"/>
      <x:c r="N236" s="6"/>
      <x:c r="O236" s="6"/>
      <x:c r="P236" s="6"/>
      <x:c r="Q236" s="6"/>
    </x:row>
    <x:row r="237" ht="19" customHeight="1">
      <x:c r="A237" s="6"/>
      <x:c r="B237" s="6"/>
      <x:c r="C237" s="6"/>
      <x:c r="D237" s="6"/>
      <x:c r="E237" s="6"/>
      <x:c r="F237" s="6"/>
      <x:c r="G237" s="6"/>
      <x:c r="H237" s="6"/>
      <x:c r="I237" s="6"/>
      <x:c r="J237" s="6"/>
      <x:c r="K237" s="6"/>
      <x:c r="L237" s="6"/>
      <x:c r="M237" s="6"/>
      <x:c r="N237" s="6"/>
      <x:c r="O237" s="6"/>
      <x:c r="P237" s="6"/>
      <x:c r="Q237" s="6"/>
    </x:row>
    <x:row r="238" ht="19" customHeight="1">
      <x:c r="A238" s="6"/>
      <x:c r="B238" s="6"/>
      <x:c r="C238" s="6"/>
      <x:c r="D238" s="6"/>
      <x:c r="E238" s="6"/>
      <x:c r="F238" s="6"/>
      <x:c r="G238" s="6"/>
      <x:c r="H238" s="6"/>
      <x:c r="I238" s="6"/>
      <x:c r="J238" s="6"/>
      <x:c r="K238" s="6"/>
      <x:c r="L238" s="6"/>
      <x:c r="M238" s="6"/>
      <x:c r="N238" s="6"/>
      <x:c r="O238" s="6"/>
      <x:c r="P238" s="6"/>
      <x:c r="Q238" s="6"/>
    </x:row>
    <x:row r="239" ht="19" customHeight="1">
      <x:c r="A239" s="6"/>
      <x:c r="B239" s="6"/>
      <x:c r="C239" s="6"/>
      <x:c r="D239" s="6"/>
      <x:c r="E239" s="6"/>
      <x:c r="F239" s="6"/>
      <x:c r="G239" s="6"/>
      <x:c r="H239" s="6"/>
      <x:c r="I239" s="6"/>
      <x:c r="J239" s="6"/>
      <x:c r="K239" s="6"/>
      <x:c r="L239" s="6"/>
      <x:c r="M239" s="6"/>
      <x:c r="N239" s="6"/>
      <x:c r="O239" s="6"/>
      <x:c r="P239" s="6"/>
      <x:c r="Q239" s="6"/>
    </x:row>
    <x:row r="240" ht="19" customHeight="1">
      <x:c r="A240" s="6"/>
      <x:c r="B240" s="6"/>
      <x:c r="C240" s="6"/>
      <x:c r="D240" s="6"/>
      <x:c r="E240" s="6"/>
      <x:c r="F240" s="6"/>
      <x:c r="G240" s="6"/>
      <x:c r="H240" s="6"/>
      <x:c r="I240" s="6"/>
      <x:c r="J240" s="6"/>
      <x:c r="K240" s="6"/>
      <x:c r="L240" s="6"/>
      <x:c r="M240" s="6"/>
      <x:c r="N240" s="6"/>
      <x:c r="O240" s="6"/>
      <x:c r="P240" s="6"/>
      <x:c r="Q240" s="6"/>
    </x:row>
    <x:row r="241" ht="19" customHeight="1">
      <x:c r="A241" s="6"/>
      <x:c r="B241" s="6"/>
      <x:c r="C241" s="6"/>
      <x:c r="D241" s="6"/>
      <x:c r="E241" s="6"/>
      <x:c r="F241" s="6"/>
      <x:c r="G241" s="6"/>
      <x:c r="H241" s="6"/>
      <x:c r="I241" s="6"/>
      <x:c r="J241" s="6"/>
      <x:c r="K241" s="6"/>
      <x:c r="L241" s="6"/>
      <x:c r="M241" s="6"/>
      <x:c r="N241" s="6"/>
      <x:c r="O241" s="6"/>
      <x:c r="P241" s="6"/>
      <x:c r="Q241" s="6"/>
    </x:row>
    <x:row r="242" ht="19" customHeight="1">
      <x:c r="A242" s="6"/>
      <x:c r="B242" s="6"/>
      <x:c r="C242" s="6"/>
      <x:c r="D242" s="6"/>
      <x:c r="E242" s="6"/>
      <x:c r="F242" s="6"/>
      <x:c r="G242" s="6"/>
      <x:c r="H242" s="6"/>
      <x:c r="I242" s="6"/>
      <x:c r="J242" s="6"/>
      <x:c r="K242" s="6"/>
      <x:c r="L242" s="6"/>
      <x:c r="M242" s="6"/>
      <x:c r="N242" s="6"/>
      <x:c r="O242" s="6"/>
      <x:c r="P242" s="6"/>
      <x:c r="Q242" s="6"/>
    </x:row>
    <x:row r="243" ht="19" customHeight="1">
      <x:c r="A243" s="6"/>
      <x:c r="B243" s="6"/>
      <x:c r="C243" s="6"/>
      <x:c r="D243" s="6"/>
      <x:c r="E243" s="6"/>
      <x:c r="F243" s="6"/>
      <x:c r="G243" s="6"/>
      <x:c r="H243" s="6"/>
      <x:c r="I243" s="6"/>
      <x:c r="J243" s="6"/>
      <x:c r="K243" s="6"/>
      <x:c r="L243" s="6"/>
      <x:c r="M243" s="6"/>
      <x:c r="N243" s="6"/>
      <x:c r="O243" s="6"/>
      <x:c r="P243" s="6"/>
      <x:c r="Q243" s="6"/>
    </x:row>
    <x:row r="244" ht="19" customHeight="1">
      <x:c r="A244" s="6"/>
      <x:c r="B244" s="6"/>
      <x:c r="C244" s="6"/>
      <x:c r="D244" s="6"/>
      <x:c r="E244" s="6"/>
      <x:c r="F244" s="6"/>
      <x:c r="G244" s="6"/>
      <x:c r="H244" s="6"/>
      <x:c r="I244" s="6"/>
      <x:c r="J244" s="6"/>
      <x:c r="K244" s="6"/>
      <x:c r="L244" s="6"/>
      <x:c r="M244" s="6"/>
      <x:c r="N244" s="6"/>
      <x:c r="O244" s="6"/>
      <x:c r="P244" s="6"/>
      <x:c r="Q244" s="6"/>
    </x:row>
    <x:row r="245" ht="19" customHeight="1">
      <x:c r="A245" s="6"/>
      <x:c r="B245" s="6"/>
      <x:c r="C245" s="6"/>
      <x:c r="D245" s="6"/>
      <x:c r="E245" s="6"/>
      <x:c r="F245" s="6"/>
      <x:c r="G245" s="6"/>
      <x:c r="H245" s="6"/>
      <x:c r="I245" s="6"/>
      <x:c r="J245" s="6"/>
      <x:c r="K245" s="6"/>
      <x:c r="L245" s="6"/>
      <x:c r="M245" s="6"/>
      <x:c r="N245" s="6"/>
      <x:c r="O245" s="6"/>
      <x:c r="P245" s="6"/>
      <x:c r="Q245" s="6"/>
    </x:row>
    <x:row r="246" ht="19" customHeight="1">
      <x:c r="A246" s="6"/>
      <x:c r="B246" s="6"/>
      <x:c r="C246" s="6"/>
      <x:c r="D246" s="6"/>
      <x:c r="E246" s="6"/>
      <x:c r="F246" s="6"/>
      <x:c r="G246" s="6"/>
      <x:c r="H246" s="6"/>
      <x:c r="I246" s="6"/>
      <x:c r="J246" s="6"/>
      <x:c r="K246" s="6"/>
      <x:c r="L246" s="6"/>
      <x:c r="M246" s="6"/>
      <x:c r="N246" s="6"/>
      <x:c r="O246" s="6"/>
      <x:c r="P246" s="6"/>
      <x:c r="Q246" s="6"/>
    </x:row>
    <x:row r="247" ht="19" customHeight="1">
      <x:c r="A247" s="6"/>
      <x:c r="B247" s="6"/>
      <x:c r="C247" s="6"/>
      <x:c r="D247" s="6"/>
      <x:c r="E247" s="6"/>
      <x:c r="F247" s="6"/>
      <x:c r="G247" s="6"/>
      <x:c r="H247" s="6"/>
      <x:c r="I247" s="6"/>
      <x:c r="J247" s="6"/>
      <x:c r="K247" s="6"/>
      <x:c r="L247" s="6"/>
      <x:c r="M247" s="6"/>
      <x:c r="N247" s="6"/>
      <x:c r="O247" s="6"/>
      <x:c r="P247" s="6"/>
      <x:c r="Q247" s="6"/>
    </x:row>
    <x:row r="248" ht="19" customHeight="1">
      <x:c r="A248" s="6"/>
      <x:c r="B248" s="6"/>
      <x:c r="C248" s="6"/>
      <x:c r="D248" s="6"/>
      <x:c r="E248" s="6"/>
      <x:c r="F248" s="6"/>
      <x:c r="G248" s="6"/>
      <x:c r="H248" s="6"/>
      <x:c r="I248" s="6"/>
      <x:c r="J248" s="6"/>
      <x:c r="K248" s="6"/>
      <x:c r="L248" s="6"/>
      <x:c r="M248" s="6"/>
      <x:c r="N248" s="6"/>
      <x:c r="O248" s="6"/>
      <x:c r="P248" s="6"/>
      <x:c r="Q248" s="6"/>
    </x:row>
    <x:row r="249" ht="19" customHeight="1">
      <x:c r="A249" s="6"/>
      <x:c r="B249" s="6"/>
      <x:c r="C249" s="6"/>
      <x:c r="D249" s="6"/>
      <x:c r="E249" s="6"/>
      <x:c r="F249" s="6"/>
      <x:c r="G249" s="6"/>
      <x:c r="H249" s="6"/>
      <x:c r="I249" s="6"/>
      <x:c r="J249" s="6"/>
      <x:c r="K249" s="6"/>
      <x:c r="L249" s="6"/>
      <x:c r="M249" s="6"/>
      <x:c r="N249" s="6"/>
      <x:c r="O249" s="6"/>
      <x:c r="P249" s="6"/>
      <x:c r="Q249" s="6"/>
    </x:row>
    <x:row r="250" ht="19" customHeight="1">
      <x:c r="A250" s="6"/>
      <x:c r="B250" s="6"/>
      <x:c r="C250" s="6"/>
      <x:c r="D250" s="6"/>
      <x:c r="E250" s="6"/>
      <x:c r="F250" s="6"/>
      <x:c r="G250" s="6"/>
      <x:c r="H250" s="6"/>
      <x:c r="I250" s="6"/>
      <x:c r="J250" s="6"/>
      <x:c r="K250" s="6"/>
      <x:c r="L250" s="6"/>
      <x:c r="M250" s="6"/>
      <x:c r="N250" s="6"/>
      <x:c r="O250" s="6"/>
      <x:c r="P250" s="6"/>
      <x:c r="Q250" s="6"/>
    </x:row>
    <x:row r="251" ht="19" customHeight="1">
      <x:c r="A251" s="6"/>
      <x:c r="B251" s="6"/>
      <x:c r="C251" s="6"/>
      <x:c r="D251" s="6"/>
      <x:c r="E251" s="6"/>
      <x:c r="F251" s="6"/>
      <x:c r="G251" s="6"/>
      <x:c r="H251" s="6"/>
      <x:c r="I251" s="6"/>
      <x:c r="J251" s="6"/>
      <x:c r="K251" s="6"/>
      <x:c r="L251" s="6"/>
      <x:c r="M251" s="6"/>
      <x:c r="N251" s="6"/>
      <x:c r="O251" s="6"/>
      <x:c r="P251" s="6"/>
      <x:c r="Q251" s="6"/>
    </x:row>
    <x:row r="252" ht="19" customHeight="1">
      <x:c r="A252" s="6"/>
      <x:c r="B252" s="6"/>
      <x:c r="C252" s="6"/>
      <x:c r="D252" s="6"/>
      <x:c r="E252" s="6"/>
      <x:c r="F252" s="6"/>
      <x:c r="G252" s="6"/>
      <x:c r="H252" s="6"/>
      <x:c r="I252" s="6"/>
      <x:c r="J252" s="6"/>
      <x:c r="K252" s="6"/>
      <x:c r="L252" s="6"/>
      <x:c r="M252" s="6"/>
      <x:c r="N252" s="6"/>
      <x:c r="O252" s="6"/>
      <x:c r="P252" s="6"/>
      <x:c r="Q252" s="6"/>
    </x:row>
    <x:row r="253" ht="19" customHeight="1">
      <x:c r="A253" s="6"/>
      <x:c r="B253" s="6"/>
      <x:c r="C253" s="6"/>
      <x:c r="D253" s="6"/>
      <x:c r="E253" s="6"/>
      <x:c r="F253" s="6"/>
      <x:c r="G253" s="6"/>
      <x:c r="H253" s="6"/>
      <x:c r="I253" s="6"/>
      <x:c r="J253" s="6"/>
      <x:c r="K253" s="6"/>
      <x:c r="L253" s="6"/>
      <x:c r="M253" s="6"/>
      <x:c r="N253" s="6"/>
      <x:c r="O253" s="6"/>
      <x:c r="P253" s="6"/>
      <x:c r="Q253" s="6"/>
    </x:row>
    <x:row r="254" ht="19" customHeight="1">
      <x:c r="A254" s="6"/>
      <x:c r="B254" s="6"/>
      <x:c r="C254" s="6"/>
      <x:c r="D254" s="6"/>
      <x:c r="E254" s="6"/>
      <x:c r="F254" s="6"/>
      <x:c r="G254" s="6"/>
      <x:c r="H254" s="6"/>
      <x:c r="I254" s="6"/>
      <x:c r="J254" s="6"/>
      <x:c r="K254" s="6"/>
      <x:c r="L254" s="6"/>
      <x:c r="M254" s="6"/>
      <x:c r="N254" s="6"/>
      <x:c r="O254" s="6"/>
      <x:c r="P254" s="6"/>
      <x:c r="Q254" s="6"/>
    </x:row>
    <x:row r="255" ht="19" customHeight="1">
      <x:c r="A255" s="6"/>
      <x:c r="B255" s="6"/>
      <x:c r="C255" s="6"/>
      <x:c r="D255" s="6"/>
      <x:c r="E255" s="6"/>
      <x:c r="F255" s="6"/>
      <x:c r="G255" s="6"/>
      <x:c r="H255" s="6"/>
      <x:c r="I255" s="6"/>
      <x:c r="J255" s="6"/>
      <x:c r="K255" s="6"/>
      <x:c r="L255" s="6"/>
      <x:c r="M255" s="6"/>
      <x:c r="N255" s="6"/>
      <x:c r="O255" s="6"/>
      <x:c r="P255" s="6"/>
      <x:c r="Q255" s="6"/>
    </x:row>
    <x:row r="256" ht="19" customHeight="1">
      <x:c r="A256" s="6"/>
      <x:c r="B256" s="6"/>
      <x:c r="C256" s="6"/>
      <x:c r="D256" s="6"/>
      <x:c r="E256" s="6"/>
      <x:c r="F256" s="6"/>
      <x:c r="G256" s="6"/>
      <x:c r="H256" s="6"/>
      <x:c r="I256" s="6"/>
      <x:c r="J256" s="6"/>
      <x:c r="K256" s="6"/>
      <x:c r="L256" s="6"/>
      <x:c r="M256" s="6"/>
      <x:c r="N256" s="6"/>
      <x:c r="O256" s="6"/>
      <x:c r="P256" s="6"/>
      <x:c r="Q256" s="6"/>
    </x:row>
    <x:row r="257" ht="19" customHeight="1">
      <x:c r="A257" s="6"/>
      <x:c r="B257" s="6"/>
      <x:c r="C257" s="6"/>
      <x:c r="D257" s="6"/>
      <x:c r="E257" s="6"/>
      <x:c r="F257" s="6"/>
      <x:c r="G257" s="6"/>
      <x:c r="H257" s="6"/>
      <x:c r="I257" s="6"/>
      <x:c r="J257" s="6"/>
      <x:c r="K257" s="6"/>
      <x:c r="L257" s="6"/>
      <x:c r="M257" s="6"/>
      <x:c r="N257" s="6"/>
      <x:c r="O257" s="6"/>
      <x:c r="P257" s="6"/>
      <x:c r="Q257" s="6"/>
    </x:row>
    <x:row r="258" ht="19" customHeight="1">
      <x:c r="A258" s="6"/>
      <x:c r="B258" s="6"/>
      <x:c r="C258" s="6"/>
      <x:c r="D258" s="6"/>
      <x:c r="E258" s="6"/>
      <x:c r="F258" s="6"/>
      <x:c r="G258" s="6"/>
      <x:c r="H258" s="6"/>
      <x:c r="I258" s="6"/>
      <x:c r="J258" s="6"/>
      <x:c r="K258" s="6"/>
      <x:c r="L258" s="6"/>
      <x:c r="M258" s="6"/>
      <x:c r="N258" s="6"/>
      <x:c r="O258" s="6"/>
      <x:c r="P258" s="6"/>
      <x:c r="Q258" s="6"/>
    </x:row>
    <x:row r="259" ht="19" customHeight="1">
      <x:c r="A259" s="6"/>
      <x:c r="B259" s="6"/>
      <x:c r="C259" s="6"/>
      <x:c r="D259" s="6"/>
      <x:c r="E259" s="6"/>
      <x:c r="F259" s="6"/>
      <x:c r="G259" s="6"/>
      <x:c r="H259" s="6"/>
      <x:c r="I259" s="6"/>
      <x:c r="J259" s="6"/>
      <x:c r="K259" s="6"/>
      <x:c r="L259" s="6"/>
      <x:c r="M259" s="6"/>
      <x:c r="N259" s="6"/>
      <x:c r="O259" s="6"/>
      <x:c r="P259" s="6"/>
      <x:c r="Q259" s="6"/>
    </x:row>
    <x:row r="260" ht="19" customHeight="1">
      <x:c r="A260" s="6"/>
      <x:c r="B260" s="6"/>
      <x:c r="C260" s="6"/>
      <x:c r="D260" s="6"/>
      <x:c r="E260" s="6"/>
      <x:c r="F260" s="6"/>
      <x:c r="G260" s="6"/>
      <x:c r="H260" s="6"/>
      <x:c r="I260" s="6"/>
      <x:c r="J260" s="6"/>
      <x:c r="K260" s="6"/>
      <x:c r="L260" s="6"/>
      <x:c r="M260" s="6"/>
      <x:c r="N260" s="6"/>
      <x:c r="O260" s="6"/>
      <x:c r="P260" s="6"/>
      <x:c r="Q260" s="6"/>
    </x:row>
  </x:sheetData>
  <x:mergeCells>
    <x:mergeCell ref="A1:B2"/>
  </x:mergeCells>
  <x:pageMargins left="0.7" right="0.7" top="0.75" bottom="0.75" header="0.3" footer="0.3"/>
</x:worksheet>
</file>