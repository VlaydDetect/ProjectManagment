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laud Detect\Desktop\ProjectManagment\phase-01\calculations\"/>
    </mc:Choice>
  </mc:AlternateContent>
  <xr:revisionPtr revIDLastSave="0" documentId="13_ncr:1_{6976DA11-3294-414F-9AAE-464610A9BAB1}" xr6:coauthVersionLast="47" xr6:coauthVersionMax="47" xr10:uidLastSave="{00000000-0000-0000-0000-000000000000}"/>
  <bookViews>
    <workbookView xWindow="-108" yWindow="-108" windowWidth="41496" windowHeight="17496" activeTab="8" xr2:uid="{00000000-000D-0000-FFFF-FFFF00000000}"/>
  </bookViews>
  <sheets>
    <sheet name="Критерии" sheetId="1" r:id="rId1"/>
    <sheet name="Концепции" sheetId="2" r:id="rId2"/>
    <sheet name="Оценки" sheetId="3" r:id="rId3"/>
    <sheet name="TOPSIS" sheetId="4" r:id="rId4"/>
    <sheet name="МАИ суждения" sheetId="5" r:id="rId5"/>
    <sheet name="МАИ матрицы" sheetId="6" r:id="rId6"/>
    <sheet name="МАИ проверки" sheetId="7" r:id="rId7"/>
    <sheet name="МАИ итог" sheetId="8" r:id="rId8"/>
    <sheet name="Задачи" sheetId="9" r:id="rId9"/>
    <sheet name="RACI" sheetId="10" r:id="rId10"/>
    <sheet name="Обзор" sheetId="11" r:id="rId11"/>
    <sheet name="Источники" sheetId="12" r:id="rId12"/>
  </sheets>
  <calcPr calcId="191029"/>
</workbook>
</file>

<file path=xl/calcChain.xml><?xml version="1.0" encoding="utf-8"?>
<calcChain xmlns="http://schemas.openxmlformats.org/spreadsheetml/2006/main">
  <c r="H20" i="9" l="1"/>
  <c r="B22" i="11" s="1"/>
  <c r="G20" i="9"/>
  <c r="B21" i="11" s="1"/>
  <c r="F20" i="9"/>
  <c r="B20" i="11" s="1"/>
  <c r="E20" i="9"/>
  <c r="B19" i="11" s="1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E231" i="7"/>
  <c r="D231" i="7"/>
  <c r="C231" i="7"/>
  <c r="B231" i="7"/>
  <c r="E230" i="7"/>
  <c r="D230" i="7"/>
  <c r="C230" i="7"/>
  <c r="B230" i="7"/>
  <c r="E229" i="7"/>
  <c r="D229" i="7"/>
  <c r="C229" i="7"/>
  <c r="B229" i="7"/>
  <c r="E228" i="7"/>
  <c r="D228" i="7"/>
  <c r="C228" i="7"/>
  <c r="B228" i="7"/>
  <c r="E218" i="7"/>
  <c r="D218" i="7"/>
  <c r="C218" i="7"/>
  <c r="B218" i="7"/>
  <c r="E217" i="7"/>
  <c r="D217" i="7"/>
  <c r="C217" i="7"/>
  <c r="B217" i="7"/>
  <c r="E216" i="7"/>
  <c r="D216" i="7"/>
  <c r="C216" i="7"/>
  <c r="B216" i="7"/>
  <c r="E215" i="7"/>
  <c r="D215" i="7"/>
  <c r="C215" i="7"/>
  <c r="B215" i="7"/>
  <c r="E205" i="7"/>
  <c r="D205" i="7"/>
  <c r="C205" i="7"/>
  <c r="B205" i="7"/>
  <c r="E204" i="7"/>
  <c r="D204" i="7"/>
  <c r="C204" i="7"/>
  <c r="B204" i="7"/>
  <c r="E203" i="7"/>
  <c r="D203" i="7"/>
  <c r="C203" i="7"/>
  <c r="B203" i="7"/>
  <c r="E202" i="7"/>
  <c r="D202" i="7"/>
  <c r="C202" i="7"/>
  <c r="B202" i="7"/>
  <c r="E192" i="7"/>
  <c r="D192" i="7"/>
  <c r="C192" i="7"/>
  <c r="B192" i="7"/>
  <c r="E191" i="7"/>
  <c r="D191" i="7"/>
  <c r="C191" i="7"/>
  <c r="F191" i="7" s="1"/>
  <c r="B191" i="7"/>
  <c r="F190" i="7"/>
  <c r="E190" i="7"/>
  <c r="D190" i="7"/>
  <c r="C190" i="7"/>
  <c r="B190" i="7"/>
  <c r="E189" i="7"/>
  <c r="D189" i="7"/>
  <c r="C189" i="7"/>
  <c r="B189" i="7"/>
  <c r="E179" i="7"/>
  <c r="D179" i="7"/>
  <c r="C179" i="7"/>
  <c r="B179" i="7"/>
  <c r="E178" i="7"/>
  <c r="D178" i="7"/>
  <c r="C178" i="7"/>
  <c r="B178" i="7"/>
  <c r="E177" i="7"/>
  <c r="D177" i="7"/>
  <c r="C177" i="7"/>
  <c r="B177" i="7"/>
  <c r="E176" i="7"/>
  <c r="D176" i="7"/>
  <c r="C176" i="7"/>
  <c r="B176" i="7"/>
  <c r="F167" i="7"/>
  <c r="E167" i="7"/>
  <c r="D167" i="7"/>
  <c r="C167" i="7"/>
  <c r="B167" i="7"/>
  <c r="F166" i="7"/>
  <c r="E166" i="7"/>
  <c r="D166" i="7"/>
  <c r="C166" i="7"/>
  <c r="B166" i="7"/>
  <c r="F165" i="7"/>
  <c r="E165" i="7"/>
  <c r="D165" i="7"/>
  <c r="C165" i="7"/>
  <c r="B165" i="7"/>
  <c r="F164" i="7"/>
  <c r="E164" i="7"/>
  <c r="D164" i="7"/>
  <c r="C164" i="7"/>
  <c r="B164" i="7"/>
  <c r="F163" i="7"/>
  <c r="E163" i="7"/>
  <c r="D163" i="7"/>
  <c r="C163" i="7"/>
  <c r="B163" i="7"/>
  <c r="E153" i="7"/>
  <c r="D153" i="7"/>
  <c r="C153" i="7"/>
  <c r="B153" i="7"/>
  <c r="E152" i="7"/>
  <c r="D152" i="7"/>
  <c r="C152" i="7"/>
  <c r="B152" i="7"/>
  <c r="E151" i="7"/>
  <c r="D151" i="7"/>
  <c r="C151" i="7"/>
  <c r="B151" i="7"/>
  <c r="E150" i="7"/>
  <c r="D150" i="7"/>
  <c r="C150" i="7"/>
  <c r="B150" i="7"/>
  <c r="E140" i="7"/>
  <c r="D140" i="7"/>
  <c r="C140" i="7"/>
  <c r="B140" i="7"/>
  <c r="E139" i="7"/>
  <c r="D139" i="7"/>
  <c r="C139" i="7"/>
  <c r="B139" i="7"/>
  <c r="E138" i="7"/>
  <c r="D138" i="7"/>
  <c r="C138" i="7"/>
  <c r="B138" i="7"/>
  <c r="E137" i="7"/>
  <c r="D137" i="7"/>
  <c r="C137" i="7"/>
  <c r="B137" i="7"/>
  <c r="E127" i="7"/>
  <c r="D127" i="7"/>
  <c r="C127" i="7"/>
  <c r="B127" i="7"/>
  <c r="E126" i="7"/>
  <c r="D126" i="7"/>
  <c r="C126" i="7"/>
  <c r="B126" i="7"/>
  <c r="E125" i="7"/>
  <c r="D125" i="7"/>
  <c r="C125" i="7"/>
  <c r="B125" i="7"/>
  <c r="E124" i="7"/>
  <c r="D124" i="7"/>
  <c r="C124" i="7"/>
  <c r="B124" i="7"/>
  <c r="E114" i="7"/>
  <c r="D114" i="7"/>
  <c r="C114" i="7"/>
  <c r="B114" i="7"/>
  <c r="E113" i="7"/>
  <c r="D113" i="7"/>
  <c r="C113" i="7"/>
  <c r="B113" i="7"/>
  <c r="E112" i="7"/>
  <c r="D112" i="7"/>
  <c r="C112" i="7"/>
  <c r="B112" i="7"/>
  <c r="E111" i="7"/>
  <c r="D111" i="7"/>
  <c r="C111" i="7"/>
  <c r="B111" i="7"/>
  <c r="E101" i="7"/>
  <c r="D101" i="7"/>
  <c r="C101" i="7"/>
  <c r="B101" i="7"/>
  <c r="E100" i="7"/>
  <c r="D100" i="7"/>
  <c r="C100" i="7"/>
  <c r="F100" i="7" s="1"/>
  <c r="B100" i="7"/>
  <c r="F99" i="7"/>
  <c r="E99" i="7"/>
  <c r="D99" i="7"/>
  <c r="C99" i="7"/>
  <c r="B99" i="7"/>
  <c r="E98" i="7"/>
  <c r="D98" i="7"/>
  <c r="C98" i="7"/>
  <c r="B98" i="7"/>
  <c r="F89" i="7"/>
  <c r="E89" i="7"/>
  <c r="D89" i="7"/>
  <c r="C89" i="7"/>
  <c r="B89" i="7"/>
  <c r="F88" i="7"/>
  <c r="E88" i="7"/>
  <c r="D88" i="7"/>
  <c r="C88" i="7"/>
  <c r="B88" i="7"/>
  <c r="F87" i="7"/>
  <c r="E87" i="7"/>
  <c r="D87" i="7"/>
  <c r="C87" i="7"/>
  <c r="B87" i="7"/>
  <c r="F86" i="7"/>
  <c r="E86" i="7"/>
  <c r="D86" i="7"/>
  <c r="C86" i="7"/>
  <c r="B86" i="7"/>
  <c r="F85" i="7"/>
  <c r="E85" i="7"/>
  <c r="D85" i="7"/>
  <c r="C85" i="7"/>
  <c r="B85" i="7"/>
  <c r="E75" i="7"/>
  <c r="D75" i="7"/>
  <c r="C75" i="7"/>
  <c r="B75" i="7"/>
  <c r="F75" i="7" s="1"/>
  <c r="E74" i="7"/>
  <c r="D74" i="7"/>
  <c r="C74" i="7"/>
  <c r="B74" i="7"/>
  <c r="E73" i="7"/>
  <c r="D73" i="7"/>
  <c r="C73" i="7"/>
  <c r="B73" i="7"/>
  <c r="E72" i="7"/>
  <c r="D72" i="7"/>
  <c r="C72" i="7"/>
  <c r="B72" i="7"/>
  <c r="E62" i="7"/>
  <c r="D62" i="7"/>
  <c r="C62" i="7"/>
  <c r="B62" i="7"/>
  <c r="E61" i="7"/>
  <c r="D61" i="7"/>
  <c r="C61" i="7"/>
  <c r="B61" i="7"/>
  <c r="E60" i="7"/>
  <c r="D60" i="7"/>
  <c r="C60" i="7"/>
  <c r="B60" i="7"/>
  <c r="E59" i="7"/>
  <c r="D59" i="7"/>
  <c r="C59" i="7"/>
  <c r="B59" i="7"/>
  <c r="F59" i="7" s="1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E75" i="6"/>
  <c r="D74" i="6"/>
  <c r="B74" i="6"/>
  <c r="C73" i="6"/>
  <c r="B73" i="6"/>
  <c r="D72" i="6"/>
  <c r="C72" i="6"/>
  <c r="B72" i="6"/>
  <c r="E62" i="6"/>
  <c r="D62" i="6"/>
  <c r="C62" i="6"/>
  <c r="B62" i="6"/>
  <c r="E61" i="6"/>
  <c r="D61" i="6"/>
  <c r="C61" i="6"/>
  <c r="B61" i="6"/>
  <c r="E60" i="6"/>
  <c r="D60" i="6"/>
  <c r="C60" i="6"/>
  <c r="B60" i="6"/>
  <c r="E59" i="6"/>
  <c r="D59" i="6"/>
  <c r="C59" i="6"/>
  <c r="B59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F46" i="6" s="1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23" i="6"/>
  <c r="D23" i="6"/>
  <c r="C23" i="6"/>
  <c r="B23" i="6"/>
  <c r="E22" i="6"/>
  <c r="D22" i="6"/>
  <c r="C22" i="6"/>
  <c r="B22" i="6"/>
  <c r="F21" i="6"/>
  <c r="E21" i="6"/>
  <c r="D21" i="6"/>
  <c r="C21" i="6"/>
  <c r="B21" i="6"/>
  <c r="E20" i="6"/>
  <c r="D20" i="6"/>
  <c r="C20" i="6"/>
  <c r="B20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E33" i="4"/>
  <c r="J29" i="3"/>
  <c r="I29" i="3"/>
  <c r="D33" i="4" s="1"/>
  <c r="H29" i="3"/>
  <c r="C33" i="4" s="1"/>
  <c r="J28" i="3"/>
  <c r="E32" i="4" s="1"/>
  <c r="I28" i="3"/>
  <c r="D32" i="4" s="1"/>
  <c r="H28" i="3"/>
  <c r="C32" i="4" s="1"/>
  <c r="J27" i="3"/>
  <c r="E31" i="4" s="1"/>
  <c r="I27" i="3"/>
  <c r="D31" i="4" s="1"/>
  <c r="H27" i="3"/>
  <c r="C31" i="4" s="1"/>
  <c r="J26" i="3"/>
  <c r="E30" i="4" s="1"/>
  <c r="I26" i="3"/>
  <c r="D30" i="4" s="1"/>
  <c r="H26" i="3"/>
  <c r="C30" i="4" s="1"/>
  <c r="J25" i="3"/>
  <c r="E29" i="4" s="1"/>
  <c r="I25" i="3"/>
  <c r="D29" i="4" s="1"/>
  <c r="H25" i="3"/>
  <c r="C29" i="4" s="1"/>
  <c r="J24" i="3"/>
  <c r="E28" i="4" s="1"/>
  <c r="I24" i="3"/>
  <c r="D28" i="4" s="1"/>
  <c r="H24" i="3"/>
  <c r="C28" i="4" s="1"/>
  <c r="J23" i="3"/>
  <c r="E27" i="4" s="1"/>
  <c r="I23" i="3"/>
  <c r="D27" i="4" s="1"/>
  <c r="H23" i="3"/>
  <c r="C27" i="4" s="1"/>
  <c r="J22" i="3"/>
  <c r="E26" i="4" s="1"/>
  <c r="I22" i="3"/>
  <c r="D26" i="4" s="1"/>
  <c r="H22" i="3"/>
  <c r="C26" i="4" s="1"/>
  <c r="J21" i="3"/>
  <c r="E25" i="4" s="1"/>
  <c r="I21" i="3"/>
  <c r="D25" i="4" s="1"/>
  <c r="H21" i="3"/>
  <c r="C25" i="4" s="1"/>
  <c r="J20" i="3"/>
  <c r="E24" i="4" s="1"/>
  <c r="I20" i="3"/>
  <c r="D24" i="4" s="1"/>
  <c r="H20" i="3"/>
  <c r="C24" i="4" s="1"/>
  <c r="J19" i="3"/>
  <c r="E23" i="4" s="1"/>
  <c r="I19" i="3"/>
  <c r="D23" i="4" s="1"/>
  <c r="H19" i="3"/>
  <c r="C23" i="4" s="1"/>
  <c r="J18" i="3"/>
  <c r="E22" i="4" s="1"/>
  <c r="I18" i="3"/>
  <c r="D22" i="4" s="1"/>
  <c r="H18" i="3"/>
  <c r="C22" i="4" s="1"/>
  <c r="J17" i="3"/>
  <c r="E21" i="4" s="1"/>
  <c r="I17" i="3"/>
  <c r="D21" i="4" s="1"/>
  <c r="H17" i="3"/>
  <c r="C21" i="4" s="1"/>
  <c r="J16" i="3"/>
  <c r="E20" i="4" s="1"/>
  <c r="I16" i="3"/>
  <c r="D20" i="4" s="1"/>
  <c r="H16" i="3"/>
  <c r="C20" i="4" s="1"/>
  <c r="J15" i="3"/>
  <c r="E19" i="4" s="1"/>
  <c r="I15" i="3"/>
  <c r="D19" i="4" s="1"/>
  <c r="H15" i="3"/>
  <c r="C19" i="4" s="1"/>
  <c r="J14" i="3"/>
  <c r="E18" i="4" s="1"/>
  <c r="I14" i="3"/>
  <c r="D18" i="4" s="1"/>
  <c r="H14" i="3"/>
  <c r="C18" i="4" s="1"/>
  <c r="J13" i="3"/>
  <c r="E17" i="4" s="1"/>
  <c r="I13" i="3"/>
  <c r="D17" i="4" s="1"/>
  <c r="H13" i="3"/>
  <c r="C17" i="4" s="1"/>
  <c r="J12" i="3"/>
  <c r="E16" i="4" s="1"/>
  <c r="I12" i="3"/>
  <c r="D16" i="4" s="1"/>
  <c r="H12" i="3"/>
  <c r="C16" i="4" s="1"/>
  <c r="J11" i="3"/>
  <c r="E15" i="4" s="1"/>
  <c r="I11" i="3"/>
  <c r="D15" i="4" s="1"/>
  <c r="H11" i="3"/>
  <c r="C15" i="4" s="1"/>
  <c r="J10" i="3"/>
  <c r="E14" i="4" s="1"/>
  <c r="I10" i="3"/>
  <c r="D14" i="4" s="1"/>
  <c r="H10" i="3"/>
  <c r="C14" i="4" s="1"/>
  <c r="J9" i="3"/>
  <c r="E10" i="4" s="1"/>
  <c r="I9" i="3"/>
  <c r="D10" i="4" s="1"/>
  <c r="H9" i="3"/>
  <c r="C10" i="4" s="1"/>
  <c r="J8" i="3"/>
  <c r="E9" i="4" s="1"/>
  <c r="I8" i="3"/>
  <c r="D9" i="4" s="1"/>
  <c r="H8" i="3"/>
  <c r="C9" i="4" s="1"/>
  <c r="J7" i="3"/>
  <c r="E8" i="4" s="1"/>
  <c r="I7" i="3"/>
  <c r="D8" i="4" s="1"/>
  <c r="H7" i="3"/>
  <c r="C8" i="4" s="1"/>
  <c r="J6" i="3"/>
  <c r="E7" i="4" s="1"/>
  <c r="I6" i="3"/>
  <c r="D7" i="4" s="1"/>
  <c r="H6" i="3"/>
  <c r="C7" i="4" s="1"/>
  <c r="J5" i="3"/>
  <c r="E6" i="4" s="1"/>
  <c r="I5" i="3"/>
  <c r="D6" i="4" s="1"/>
  <c r="G6" i="4" s="1"/>
  <c r="H5" i="3"/>
  <c r="C6" i="4" s="1"/>
  <c r="F6" i="4" s="1"/>
  <c r="F231" i="7" l="1"/>
  <c r="F230" i="7"/>
  <c r="F229" i="7"/>
  <c r="F228" i="7"/>
  <c r="G228" i="7" s="1"/>
  <c r="F218" i="7"/>
  <c r="F217" i="7"/>
  <c r="F216" i="7"/>
  <c r="F215" i="7"/>
  <c r="G215" i="7" s="1"/>
  <c r="F205" i="7"/>
  <c r="G205" i="7" s="1"/>
  <c r="F204" i="7"/>
  <c r="F203" i="7"/>
  <c r="F202" i="7"/>
  <c r="F192" i="7"/>
  <c r="F189" i="7"/>
  <c r="F179" i="7"/>
  <c r="F178" i="7"/>
  <c r="F177" i="7"/>
  <c r="G177" i="7" s="1"/>
  <c r="F176" i="7"/>
  <c r="G167" i="7"/>
  <c r="G166" i="7"/>
  <c r="G165" i="7"/>
  <c r="G164" i="7"/>
  <c r="G163" i="7"/>
  <c r="H163" i="7" s="1"/>
  <c r="F153" i="7"/>
  <c r="F152" i="7"/>
  <c r="F151" i="7"/>
  <c r="F150" i="7"/>
  <c r="G150" i="7" s="1"/>
  <c r="F140" i="7"/>
  <c r="F139" i="7"/>
  <c r="F138" i="7"/>
  <c r="F137" i="7"/>
  <c r="G137" i="7" s="1"/>
  <c r="F127" i="7"/>
  <c r="F126" i="7"/>
  <c r="F125" i="7"/>
  <c r="F124" i="7"/>
  <c r="G124" i="7" s="1"/>
  <c r="F114" i="7"/>
  <c r="F113" i="7"/>
  <c r="F112" i="7"/>
  <c r="F111" i="7"/>
  <c r="G111" i="7" s="1"/>
  <c r="F101" i="7"/>
  <c r="F98" i="7"/>
  <c r="G89" i="7"/>
  <c r="G88" i="7"/>
  <c r="G87" i="7"/>
  <c r="G86" i="7"/>
  <c r="H86" i="7" s="1"/>
  <c r="G85" i="7"/>
  <c r="F74" i="7"/>
  <c r="F73" i="7"/>
  <c r="F72" i="7"/>
  <c r="F62" i="7"/>
  <c r="F61" i="7"/>
  <c r="F60" i="7"/>
  <c r="F49" i="7"/>
  <c r="F48" i="7"/>
  <c r="F47" i="7"/>
  <c r="F46" i="7"/>
  <c r="G46" i="7" s="1"/>
  <c r="F36" i="7"/>
  <c r="F35" i="7"/>
  <c r="F34" i="7"/>
  <c r="F33" i="7"/>
  <c r="G33" i="7" s="1"/>
  <c r="F23" i="7"/>
  <c r="F22" i="7"/>
  <c r="G22" i="7" s="1"/>
  <c r="F21" i="7"/>
  <c r="G21" i="7" s="1"/>
  <c r="F20" i="7"/>
  <c r="G11" i="7"/>
  <c r="G8" i="7"/>
  <c r="G7" i="7"/>
  <c r="F62" i="6"/>
  <c r="F61" i="6"/>
  <c r="F60" i="6"/>
  <c r="F59" i="6"/>
  <c r="G59" i="6" s="1"/>
  <c r="F49" i="6"/>
  <c r="F48" i="6"/>
  <c r="F47" i="6"/>
  <c r="F36" i="6"/>
  <c r="F35" i="6"/>
  <c r="F34" i="6"/>
  <c r="F33" i="6"/>
  <c r="G33" i="6" s="1"/>
  <c r="F23" i="6"/>
  <c r="F22" i="6"/>
  <c r="F20" i="6"/>
  <c r="G11" i="6"/>
  <c r="G10" i="6"/>
  <c r="H10" i="6" s="1"/>
  <c r="B8" i="8" s="1"/>
  <c r="G9" i="6"/>
  <c r="G8" i="6"/>
  <c r="G7" i="6"/>
  <c r="E74" i="6"/>
  <c r="D75" i="6"/>
  <c r="C75" i="6"/>
  <c r="E73" i="6"/>
  <c r="D73" i="6"/>
  <c r="F73" i="6" s="1"/>
  <c r="C74" i="6"/>
  <c r="F74" i="6" s="1"/>
  <c r="E72" i="6"/>
  <c r="F72" i="6" s="1"/>
  <c r="B75" i="6"/>
  <c r="I10" i="4"/>
  <c r="I9" i="4"/>
  <c r="I8" i="4"/>
  <c r="I7" i="4"/>
  <c r="I6" i="4"/>
  <c r="K19" i="4"/>
  <c r="K14" i="4"/>
  <c r="K24" i="4"/>
  <c r="K29" i="4"/>
  <c r="J14" i="4"/>
  <c r="J19" i="4"/>
  <c r="J24" i="4"/>
  <c r="J29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190" i="7" l="1"/>
  <c r="G191" i="7"/>
  <c r="G189" i="7"/>
  <c r="G99" i="7"/>
  <c r="G100" i="7"/>
  <c r="G98" i="7"/>
  <c r="G75" i="7"/>
  <c r="G72" i="7"/>
  <c r="G59" i="7"/>
  <c r="G60" i="7"/>
  <c r="H10" i="7"/>
  <c r="H9" i="7"/>
  <c r="H7" i="7"/>
  <c r="G46" i="6"/>
  <c r="G47" i="6"/>
  <c r="E14" i="8" s="1"/>
  <c r="G21" i="6"/>
  <c r="C14" i="8" s="1"/>
  <c r="G20" i="6"/>
  <c r="F75" i="6"/>
  <c r="F18" i="4"/>
  <c r="F23" i="4"/>
  <c r="F28" i="4"/>
  <c r="F33" i="4"/>
  <c r="F17" i="4"/>
  <c r="F22" i="4"/>
  <c r="F27" i="4"/>
  <c r="F32" i="4"/>
  <c r="F26" i="4"/>
  <c r="F31" i="4"/>
  <c r="F16" i="4"/>
  <c r="F21" i="4"/>
  <c r="F15" i="4"/>
  <c r="F20" i="4"/>
  <c r="F25" i="4"/>
  <c r="F30" i="4"/>
  <c r="F14" i="4"/>
  <c r="F19" i="4"/>
  <c r="F24" i="4"/>
  <c r="F29" i="4"/>
  <c r="L18" i="4"/>
  <c r="L33" i="4"/>
  <c r="L28" i="4"/>
  <c r="L23" i="4"/>
  <c r="K33" i="4"/>
  <c r="K28" i="4"/>
  <c r="K23" i="4"/>
  <c r="K18" i="4"/>
  <c r="J33" i="4"/>
  <c r="J28" i="4"/>
  <c r="J23" i="4"/>
  <c r="J18" i="4"/>
  <c r="L17" i="4"/>
  <c r="L32" i="4"/>
  <c r="L27" i="4"/>
  <c r="L22" i="4"/>
  <c r="K17" i="4"/>
  <c r="K32" i="4"/>
  <c r="K27" i="4"/>
  <c r="K22" i="4"/>
  <c r="J17" i="4"/>
  <c r="J32" i="4"/>
  <c r="J27" i="4"/>
  <c r="J22" i="4"/>
  <c r="L31" i="4"/>
  <c r="L26" i="4"/>
  <c r="L21" i="4"/>
  <c r="L16" i="4"/>
  <c r="K31" i="4"/>
  <c r="K26" i="4"/>
  <c r="K21" i="4"/>
  <c r="K16" i="4"/>
  <c r="J31" i="4"/>
  <c r="J26" i="4"/>
  <c r="J21" i="4"/>
  <c r="J16" i="4"/>
  <c r="L30" i="4"/>
  <c r="L25" i="4"/>
  <c r="L15" i="4"/>
  <c r="L20" i="4"/>
  <c r="K30" i="4"/>
  <c r="K25" i="4"/>
  <c r="K20" i="4"/>
  <c r="K15" i="4"/>
  <c r="J30" i="4"/>
  <c r="J25" i="4"/>
  <c r="J15" i="4"/>
  <c r="J20" i="4"/>
  <c r="L29" i="4"/>
  <c r="L24" i="4"/>
  <c r="L19" i="4"/>
  <c r="L14" i="4"/>
  <c r="G204" i="7"/>
  <c r="G203" i="7"/>
  <c r="G202" i="7"/>
  <c r="G192" i="7"/>
  <c r="G179" i="7"/>
  <c r="G178" i="7"/>
  <c r="H165" i="7"/>
  <c r="G153" i="7"/>
  <c r="G152" i="7"/>
  <c r="G140" i="7"/>
  <c r="G127" i="7"/>
  <c r="G114" i="7"/>
  <c r="G112" i="7"/>
  <c r="G101" i="7"/>
  <c r="H89" i="7"/>
  <c r="H87" i="7"/>
  <c r="G62" i="7"/>
  <c r="G48" i="7"/>
  <c r="G36" i="7"/>
  <c r="G176" i="7"/>
  <c r="H167" i="7"/>
  <c r="H166" i="7"/>
  <c r="H164" i="7"/>
  <c r="G151" i="7"/>
  <c r="G139" i="7"/>
  <c r="G138" i="7"/>
  <c r="G126" i="7"/>
  <c r="G125" i="7"/>
  <c r="G113" i="7"/>
  <c r="H88" i="7"/>
  <c r="G61" i="7"/>
  <c r="G47" i="7"/>
  <c r="G23" i="7"/>
  <c r="G35" i="7"/>
  <c r="H85" i="7"/>
  <c r="G74" i="7"/>
  <c r="G73" i="7"/>
  <c r="G49" i="7"/>
  <c r="G20" i="7"/>
  <c r="H11" i="7"/>
  <c r="H8" i="7"/>
  <c r="G62" i="6"/>
  <c r="F16" i="8" s="1"/>
  <c r="G60" i="6"/>
  <c r="G49" i="6"/>
  <c r="E16" i="8" s="1"/>
  <c r="G35" i="6"/>
  <c r="D15" i="8" s="1"/>
  <c r="G22" i="6"/>
  <c r="C15" i="8" s="1"/>
  <c r="H11" i="6"/>
  <c r="B9" i="8" s="1"/>
  <c r="G61" i="6"/>
  <c r="F15" i="8" s="1"/>
  <c r="G48" i="6"/>
  <c r="E15" i="8" s="1"/>
  <c r="G36" i="6"/>
  <c r="D16" i="8" s="1"/>
  <c r="G34" i="6"/>
  <c r="D14" i="8" s="1"/>
  <c r="G23" i="6"/>
  <c r="C16" i="8" s="1"/>
  <c r="H9" i="6"/>
  <c r="B7" i="8" s="1"/>
  <c r="H8" i="6"/>
  <c r="B6" i="8" s="1"/>
  <c r="H7" i="6"/>
  <c r="G231" i="7"/>
  <c r="G230" i="7"/>
  <c r="G229" i="7"/>
  <c r="G218" i="7"/>
  <c r="G217" i="7"/>
  <c r="G216" i="7"/>
  <c r="G34" i="7"/>
  <c r="H218" i="7"/>
  <c r="H217" i="7"/>
  <c r="H216" i="7"/>
  <c r="H215" i="7"/>
  <c r="B220" i="7" s="1"/>
  <c r="D220" i="7" s="1"/>
  <c r="F220" i="7" s="1"/>
  <c r="I163" i="7"/>
  <c r="I164" i="7"/>
  <c r="I167" i="7"/>
  <c r="I166" i="7"/>
  <c r="I165" i="7"/>
  <c r="H153" i="7"/>
  <c r="H150" i="7"/>
  <c r="H152" i="7"/>
  <c r="H151" i="7"/>
  <c r="H140" i="7"/>
  <c r="H139" i="7"/>
  <c r="H138" i="7"/>
  <c r="H137" i="7"/>
  <c r="B142" i="7" s="1"/>
  <c r="D142" i="7" s="1"/>
  <c r="F142" i="7" s="1"/>
  <c r="H125" i="7"/>
  <c r="H127" i="7"/>
  <c r="H126" i="7"/>
  <c r="H124" i="7"/>
  <c r="H114" i="7"/>
  <c r="H113" i="7"/>
  <c r="H112" i="7"/>
  <c r="H111" i="7"/>
  <c r="B116" i="7" s="1"/>
  <c r="D116" i="7" s="1"/>
  <c r="F116" i="7" s="1"/>
  <c r="H46" i="7"/>
  <c r="H49" i="7"/>
  <c r="H48" i="7"/>
  <c r="H47" i="7"/>
  <c r="H33" i="7"/>
  <c r="H34" i="7"/>
  <c r="H35" i="7"/>
  <c r="H36" i="7"/>
  <c r="F13" i="8"/>
  <c r="H62" i="6"/>
  <c r="H61" i="6"/>
  <c r="H60" i="6"/>
  <c r="D13" i="8"/>
  <c r="H33" i="6"/>
  <c r="B38" i="6" s="1"/>
  <c r="D38" i="6" s="1"/>
  <c r="F38" i="6" s="1"/>
  <c r="H36" i="6"/>
  <c r="H35" i="6"/>
  <c r="H34" i="6"/>
  <c r="G74" i="6"/>
  <c r="G15" i="8" s="1"/>
  <c r="G73" i="6"/>
  <c r="G14" i="8" s="1"/>
  <c r="H189" i="7" l="1"/>
  <c r="H192" i="7"/>
  <c r="H190" i="7"/>
  <c r="H191" i="7"/>
  <c r="H98" i="7"/>
  <c r="H101" i="7"/>
  <c r="H99" i="7"/>
  <c r="H100" i="7"/>
  <c r="H72" i="7"/>
  <c r="H74" i="7"/>
  <c r="H73" i="7"/>
  <c r="H75" i="7"/>
  <c r="H61" i="7"/>
  <c r="H60" i="7"/>
  <c r="H62" i="7"/>
  <c r="H59" i="7"/>
  <c r="B64" i="7" s="1"/>
  <c r="D64" i="7" s="1"/>
  <c r="F64" i="7" s="1"/>
  <c r="I7" i="7"/>
  <c r="I8" i="7"/>
  <c r="I11" i="7"/>
  <c r="I9" i="7"/>
  <c r="I10" i="7"/>
  <c r="H47" i="6"/>
  <c r="H49" i="6"/>
  <c r="H48" i="6"/>
  <c r="H46" i="6"/>
  <c r="B51" i="6" s="1"/>
  <c r="D51" i="6" s="1"/>
  <c r="F51" i="6" s="1"/>
  <c r="E13" i="8"/>
  <c r="H20" i="6"/>
  <c r="H22" i="6"/>
  <c r="H23" i="6"/>
  <c r="H21" i="6"/>
  <c r="C13" i="8"/>
  <c r="G72" i="6"/>
  <c r="G75" i="6"/>
  <c r="G16" i="8" s="1"/>
  <c r="I18" i="4"/>
  <c r="O18" i="4" s="1"/>
  <c r="B41" i="4" s="1"/>
  <c r="G18" i="4"/>
  <c r="M18" i="4" s="1"/>
  <c r="H18" i="4"/>
  <c r="N18" i="4" s="1"/>
  <c r="G23" i="4"/>
  <c r="M23" i="4" s="1"/>
  <c r="I23" i="4"/>
  <c r="O23" i="4" s="1"/>
  <c r="H23" i="4"/>
  <c r="N23" i="4" s="1"/>
  <c r="G28" i="4"/>
  <c r="M28" i="4" s="1"/>
  <c r="H28" i="4"/>
  <c r="N28" i="4" s="1"/>
  <c r="I28" i="4"/>
  <c r="O28" i="4" s="1"/>
  <c r="G33" i="4"/>
  <c r="M33" i="4" s="1"/>
  <c r="H33" i="4"/>
  <c r="N33" i="4" s="1"/>
  <c r="I33" i="4"/>
  <c r="O33" i="4" s="1"/>
  <c r="I17" i="4"/>
  <c r="O17" i="4" s="1"/>
  <c r="G17" i="4"/>
  <c r="M17" i="4" s="1"/>
  <c r="H17" i="4"/>
  <c r="N17" i="4" s="1"/>
  <c r="G22" i="4"/>
  <c r="M22" i="4" s="1"/>
  <c r="H22" i="4"/>
  <c r="N22" i="4" s="1"/>
  <c r="I22" i="4"/>
  <c r="O22" i="4" s="1"/>
  <c r="H27" i="4"/>
  <c r="N27" i="4" s="1"/>
  <c r="G27" i="4"/>
  <c r="M27" i="4" s="1"/>
  <c r="I27" i="4"/>
  <c r="O27" i="4" s="1"/>
  <c r="G32" i="4"/>
  <c r="M32" i="4" s="1"/>
  <c r="H32" i="4"/>
  <c r="N32" i="4" s="1"/>
  <c r="I32" i="4"/>
  <c r="O32" i="4" s="1"/>
  <c r="G26" i="4"/>
  <c r="M26" i="4" s="1"/>
  <c r="I26" i="4"/>
  <c r="O26" i="4" s="1"/>
  <c r="H26" i="4"/>
  <c r="N26" i="4" s="1"/>
  <c r="H31" i="4"/>
  <c r="N31" i="4" s="1"/>
  <c r="G31" i="4"/>
  <c r="M31" i="4" s="1"/>
  <c r="I31" i="4"/>
  <c r="O31" i="4" s="1"/>
  <c r="I16" i="4"/>
  <c r="O16" i="4" s="1"/>
  <c r="H16" i="4"/>
  <c r="N16" i="4" s="1"/>
  <c r="G16" i="4"/>
  <c r="M16" i="4" s="1"/>
  <c r="G21" i="4"/>
  <c r="M21" i="4" s="1"/>
  <c r="H21" i="4"/>
  <c r="N21" i="4" s="1"/>
  <c r="I21" i="4"/>
  <c r="O21" i="4" s="1"/>
  <c r="I15" i="4"/>
  <c r="O15" i="4" s="1"/>
  <c r="G15" i="4"/>
  <c r="M15" i="4" s="1"/>
  <c r="H15" i="4"/>
  <c r="N15" i="4" s="1"/>
  <c r="G20" i="4"/>
  <c r="M20" i="4" s="1"/>
  <c r="H20" i="4"/>
  <c r="N20" i="4" s="1"/>
  <c r="I20" i="4"/>
  <c r="O20" i="4" s="1"/>
  <c r="G25" i="4"/>
  <c r="M25" i="4" s="1"/>
  <c r="I25" i="4"/>
  <c r="O25" i="4" s="1"/>
  <c r="H25" i="4"/>
  <c r="N25" i="4" s="1"/>
  <c r="H30" i="4"/>
  <c r="N30" i="4" s="1"/>
  <c r="I30" i="4"/>
  <c r="O30" i="4" s="1"/>
  <c r="G30" i="4"/>
  <c r="M30" i="4" s="1"/>
  <c r="I14" i="4"/>
  <c r="O14" i="4" s="1"/>
  <c r="G14" i="4"/>
  <c r="M14" i="4" s="1"/>
  <c r="H14" i="4"/>
  <c r="N14" i="4" s="1"/>
  <c r="G19" i="4"/>
  <c r="M19" i="4" s="1"/>
  <c r="H19" i="4"/>
  <c r="N19" i="4" s="1"/>
  <c r="I19" i="4"/>
  <c r="O19" i="4" s="1"/>
  <c r="H24" i="4"/>
  <c r="N24" i="4" s="1"/>
  <c r="G24" i="4"/>
  <c r="M24" i="4" s="1"/>
  <c r="I24" i="4"/>
  <c r="O24" i="4" s="1"/>
  <c r="G29" i="4"/>
  <c r="M29" i="4" s="1"/>
  <c r="I29" i="4"/>
  <c r="O29" i="4" s="1"/>
  <c r="H29" i="4"/>
  <c r="N29" i="4" s="1"/>
  <c r="H202" i="7"/>
  <c r="B207" i="7" s="1"/>
  <c r="D207" i="7" s="1"/>
  <c r="F207" i="7" s="1"/>
  <c r="H203" i="7"/>
  <c r="H204" i="7"/>
  <c r="H205" i="7"/>
  <c r="H176" i="7"/>
  <c r="B181" i="7" s="1"/>
  <c r="D181" i="7" s="1"/>
  <c r="F181" i="7" s="1"/>
  <c r="H177" i="7"/>
  <c r="H178" i="7"/>
  <c r="H179" i="7"/>
  <c r="I86" i="7"/>
  <c r="I88" i="7"/>
  <c r="I89" i="7"/>
  <c r="I87" i="7"/>
  <c r="I85" i="7"/>
  <c r="B91" i="7" s="1"/>
  <c r="D91" i="7" s="1"/>
  <c r="F91" i="7" s="1"/>
  <c r="H23" i="7"/>
  <c r="H20" i="7"/>
  <c r="H22" i="7"/>
  <c r="H21" i="7"/>
  <c r="H59" i="6"/>
  <c r="B64" i="6" s="1"/>
  <c r="D64" i="6" s="1"/>
  <c r="F64" i="6" s="1"/>
  <c r="F14" i="8"/>
  <c r="I7" i="6"/>
  <c r="I8" i="6"/>
  <c r="I9" i="6"/>
  <c r="I11" i="6"/>
  <c r="I10" i="6"/>
  <c r="B5" i="8"/>
  <c r="C47" i="8"/>
  <c r="D47" i="8" s="1"/>
  <c r="H220" i="7"/>
  <c r="C41" i="8"/>
  <c r="D41" i="8" s="1"/>
  <c r="H142" i="7"/>
  <c r="C39" i="8"/>
  <c r="D39" i="8" s="1"/>
  <c r="H116" i="7"/>
  <c r="B24" i="8"/>
  <c r="C24" i="8" s="1"/>
  <c r="H38" i="6"/>
  <c r="B38" i="7"/>
  <c r="D38" i="7" s="1"/>
  <c r="F38" i="7" s="1"/>
  <c r="B169" i="7"/>
  <c r="D169" i="7" s="1"/>
  <c r="F169" i="7" s="1"/>
  <c r="B155" i="7"/>
  <c r="D155" i="7" s="1"/>
  <c r="F155" i="7" s="1"/>
  <c r="B129" i="7"/>
  <c r="D129" i="7" s="1"/>
  <c r="F129" i="7" s="1"/>
  <c r="B51" i="7"/>
  <c r="D51" i="7" s="1"/>
  <c r="F51" i="7" s="1"/>
  <c r="H231" i="7"/>
  <c r="H230" i="7"/>
  <c r="H229" i="7"/>
  <c r="H228" i="7"/>
  <c r="B233" i="7" s="1"/>
  <c r="D233" i="7" s="1"/>
  <c r="F233" i="7" s="1"/>
  <c r="C35" i="8" l="1"/>
  <c r="D35" i="8" s="1"/>
  <c r="H64" i="7"/>
  <c r="B25" i="8"/>
  <c r="C25" i="8" s="1"/>
  <c r="H51" i="6"/>
  <c r="H75" i="6"/>
  <c r="G13" i="8"/>
  <c r="H13" i="8" s="1"/>
  <c r="H74" i="6"/>
  <c r="H73" i="6"/>
  <c r="H72" i="6"/>
  <c r="B77" i="6" s="1"/>
  <c r="D77" i="6" s="1"/>
  <c r="F77" i="6" s="1"/>
  <c r="C41" i="4"/>
  <c r="Q33" i="4" s="1"/>
  <c r="Q18" i="4"/>
  <c r="P18" i="4"/>
  <c r="Q23" i="4"/>
  <c r="P23" i="4"/>
  <c r="Q28" i="4"/>
  <c r="P28" i="4"/>
  <c r="P33" i="4"/>
  <c r="C40" i="4"/>
  <c r="Q17" i="4"/>
  <c r="Q22" i="4"/>
  <c r="Q27" i="4"/>
  <c r="Q32" i="4"/>
  <c r="C39" i="4"/>
  <c r="Q16" i="4"/>
  <c r="Q21" i="4"/>
  <c r="C38" i="4"/>
  <c r="P15" i="4"/>
  <c r="Q15" i="4"/>
  <c r="Q20" i="4"/>
  <c r="P20" i="4"/>
  <c r="Q25" i="4"/>
  <c r="P25" i="4"/>
  <c r="P30" i="4"/>
  <c r="Q30" i="4"/>
  <c r="C37" i="4"/>
  <c r="C46" i="8"/>
  <c r="D46" i="8" s="1"/>
  <c r="H207" i="7"/>
  <c r="C44" i="8"/>
  <c r="D44" i="8" s="1"/>
  <c r="H181" i="7"/>
  <c r="C37" i="8"/>
  <c r="D37" i="8" s="1"/>
  <c r="H91" i="7"/>
  <c r="B26" i="8"/>
  <c r="C26" i="8" s="1"/>
  <c r="H64" i="6"/>
  <c r="H15" i="8"/>
  <c r="H16" i="8"/>
  <c r="H14" i="8"/>
  <c r="B10" i="8"/>
  <c r="H38" i="7"/>
  <c r="C33" i="8"/>
  <c r="D33" i="8" s="1"/>
  <c r="H169" i="7"/>
  <c r="C43" i="8"/>
  <c r="D43" i="8" s="1"/>
  <c r="H155" i="7"/>
  <c r="C42" i="8"/>
  <c r="D42" i="8" s="1"/>
  <c r="H129" i="7"/>
  <c r="C40" i="8"/>
  <c r="D40" i="8" s="1"/>
  <c r="H51" i="7"/>
  <c r="C34" i="8"/>
  <c r="D34" i="8" s="1"/>
  <c r="H233" i="7"/>
  <c r="C48" i="8"/>
  <c r="D48" i="8" s="1"/>
  <c r="B40" i="4"/>
  <c r="B37" i="4"/>
  <c r="B39" i="4"/>
  <c r="B38" i="4"/>
  <c r="B25" i="7"/>
  <c r="D25" i="7" s="1"/>
  <c r="F25" i="7" s="1"/>
  <c r="B13" i="6"/>
  <c r="D13" i="6" s="1"/>
  <c r="F13" i="6" s="1"/>
  <c r="B194" i="7"/>
  <c r="D194" i="7" s="1"/>
  <c r="F194" i="7" s="1"/>
  <c r="B103" i="7"/>
  <c r="D103" i="7" s="1"/>
  <c r="F103" i="7" s="1"/>
  <c r="B77" i="7"/>
  <c r="D77" i="7" s="1"/>
  <c r="F77" i="7" s="1"/>
  <c r="B13" i="7"/>
  <c r="D13" i="7" s="1"/>
  <c r="F13" i="7" s="1"/>
  <c r="B25" i="6"/>
  <c r="D25" i="6" s="1"/>
  <c r="F25" i="6" s="1"/>
  <c r="H18" i="8" l="1"/>
  <c r="D12" i="11"/>
  <c r="I13" i="8"/>
  <c r="E12" i="11" s="1"/>
  <c r="H77" i="6"/>
  <c r="B27" i="8"/>
  <c r="C27" i="8" s="1"/>
  <c r="D14" i="11"/>
  <c r="I15" i="8"/>
  <c r="E14" i="11" s="1"/>
  <c r="I16" i="8"/>
  <c r="E15" i="11" s="1"/>
  <c r="D15" i="11"/>
  <c r="I14" i="8"/>
  <c r="E13" i="11" s="1"/>
  <c r="D13" i="11"/>
  <c r="H25" i="7"/>
  <c r="C32" i="8"/>
  <c r="D32" i="8" s="1"/>
  <c r="H13" i="6"/>
  <c r="B22" i="8"/>
  <c r="C22" i="8" s="1"/>
  <c r="H194" i="7"/>
  <c r="C45" i="8"/>
  <c r="D45" i="8" s="1"/>
  <c r="H103" i="7"/>
  <c r="C38" i="8"/>
  <c r="D38" i="8" s="1"/>
  <c r="H77" i="7"/>
  <c r="C36" i="8"/>
  <c r="D36" i="8" s="1"/>
  <c r="H13" i="7"/>
  <c r="C31" i="8"/>
  <c r="D31" i="8" s="1"/>
  <c r="B23" i="8"/>
  <c r="C23" i="8" s="1"/>
  <c r="H25" i="6"/>
  <c r="Q26" i="4"/>
  <c r="Q31" i="4"/>
  <c r="Q14" i="4"/>
  <c r="D45" i="4" s="1"/>
  <c r="Q19" i="4"/>
  <c r="D46" i="4" s="1"/>
  <c r="Q24" i="4"/>
  <c r="Q29" i="4"/>
  <c r="P17" i="4"/>
  <c r="P22" i="4"/>
  <c r="P27" i="4"/>
  <c r="P32" i="4"/>
  <c r="P14" i="4"/>
  <c r="C45" i="4" s="1"/>
  <c r="P19" i="4"/>
  <c r="C46" i="4" s="1"/>
  <c r="P24" i="4"/>
  <c r="C47" i="4" s="1"/>
  <c r="P29" i="4"/>
  <c r="P26" i="4"/>
  <c r="P31" i="4"/>
  <c r="P16" i="4"/>
  <c r="P21" i="4"/>
  <c r="E45" i="4" l="1"/>
  <c r="E46" i="4"/>
  <c r="D47" i="4"/>
  <c r="E47" i="4" s="1"/>
  <c r="D48" i="4"/>
  <c r="C48" i="4"/>
  <c r="F45" i="4" l="1"/>
  <c r="C12" i="11" s="1"/>
  <c r="B12" i="11"/>
  <c r="F46" i="4"/>
  <c r="C13" i="11" s="1"/>
  <c r="B13" i="11"/>
  <c r="F47" i="4"/>
  <c r="C14" i="11" s="1"/>
  <c r="B14" i="11"/>
  <c r="E48" i="4"/>
  <c r="B15" i="11" l="1"/>
  <c r="F48" i="4"/>
  <c r="C15" i="11" s="1"/>
</calcChain>
</file>

<file path=xl/sharedStrings.xml><?xml version="1.0" encoding="utf-8"?>
<sst xmlns="http://schemas.openxmlformats.org/spreadsheetml/2006/main" count="1374" uniqueCount="318">
  <si>
    <t>Критерии выбора и шкалы</t>
  </si>
  <si>
    <t>Все критерии — выгоды: чем выше оценка, тем лучше (1…9).</t>
  </si>
  <si>
    <t>Код</t>
  </si>
  <si>
    <t>Критерий</t>
  </si>
  <si>
    <t>Как оценивать</t>
  </si>
  <si>
    <t>Якоря шкалы</t>
  </si>
  <si>
    <t>K1</t>
  </si>
  <si>
    <t>Полезность для студентов</t>
  </si>
  <si>
    <t>Насколько решение закрывает частую и понятную потребность целевой аудитории</t>
  </si>
  <si>
    <t>1 — сомнительная ценность; 9 — высокая ценность</t>
  </si>
  <si>
    <t>K2</t>
  </si>
  <si>
    <t>Реализуемость MVP</t>
  </si>
  <si>
    <t>Насколько реально выполнить 12 UC силами трёх человек без платных интеграций</t>
  </si>
  <si>
    <t>1 — трудно выполнить; 9 — легко выполнить</t>
  </si>
  <si>
    <t>K3</t>
  </si>
  <si>
    <t>Простота проверки и демонстрации</t>
  </si>
  <si>
    <t>Насколько легко написать тест-кейсы и показать сквозной сценарий</t>
  </si>
  <si>
    <t>1 — трудно проверить; 9 — наглядное демо</t>
  </si>
  <si>
    <t>K4</t>
  </si>
  <si>
    <t>Доступность тестовых данных</t>
  </si>
  <si>
    <t>Можно ли безопасно сгенерировать реалистичные учебные данные и роли</t>
  </si>
  <si>
    <t>1 — данных почти нет; 9 — доступны без ограничений</t>
  </si>
  <si>
    <t>K5</t>
  </si>
  <si>
    <t>Потенциал дальнейшего развития</t>
  </si>
  <si>
    <t>Можно ли добавить функции после MVP без радикальной смены архитектуры</t>
  </si>
  <si>
    <t>1 — почти нет развития; 9 — большой потенциал</t>
  </si>
  <si>
    <t>Методическое правило</t>
  </si>
  <si>
    <t>Сначала участники независимо выставляют по одному баллу 1–9 за важность K1–K5 и каждую альтернативу по каждому критерию. Три балла сортируются: min/median/max → (пессимистичная, ожидаемая, оптимистичная) оценка.</t>
  </si>
  <si>
    <t>Четыре концепции — по 12 Use Cases</t>
  </si>
  <si>
    <t>Концепция</t>
  </si>
  <si>
    <t>Use Case</t>
  </si>
  <si>
    <t>Основной актор</t>
  </si>
  <si>
    <t>Краткий сценарий</t>
  </si>
  <si>
    <t>A1</t>
  </si>
  <si>
    <t>StudyFlow</t>
  </si>
  <si>
    <t>UC-01</t>
  </si>
  <si>
    <t>Студент</t>
  </si>
  <si>
    <t>Войти в личный кабинет</t>
  </si>
  <si>
    <t>UC-02</t>
  </si>
  <si>
    <t>Создать учебную команду</t>
  </si>
  <si>
    <t>UC-03</t>
  </si>
  <si>
    <t>Пригласить участника в команду</t>
  </si>
  <si>
    <t>UC-04</t>
  </si>
  <si>
    <t>Участник команды</t>
  </si>
  <si>
    <t>Создать проект</t>
  </si>
  <si>
    <t>UC-05</t>
  </si>
  <si>
    <t>Добавить задачу</t>
  </si>
  <si>
    <t>UC-06</t>
  </si>
  <si>
    <t>Назначить исполнителя задачи</t>
  </si>
  <si>
    <t>UC-07</t>
  </si>
  <si>
    <t>Установить срок задачи</t>
  </si>
  <si>
    <t>UC-08</t>
  </si>
  <si>
    <t>Исполнитель</t>
  </si>
  <si>
    <t>Изменить статус задачи</t>
  </si>
  <si>
    <t>UC-09</t>
  </si>
  <si>
    <t>Оставить комментарий к задаче</t>
  </si>
  <si>
    <t>UC-10</t>
  </si>
  <si>
    <t>Отфильтровать задачи по статусу</t>
  </si>
  <si>
    <t>UC-11</t>
  </si>
  <si>
    <t>Просмотреть задачи на календаре</t>
  </si>
  <si>
    <t>UC-12</t>
  </si>
  <si>
    <t>Просмотреть сводку прогресса проекта</t>
  </si>
  <si>
    <t>A2</t>
  </si>
  <si>
    <t>CampusEvents</t>
  </si>
  <si>
    <t>Студент / организатор</t>
  </si>
  <si>
    <t>Войти в систему</t>
  </si>
  <si>
    <t>Просмотреть список мероприятий</t>
  </si>
  <si>
    <t>Отфильтровать мероприятия по дате и категории</t>
  </si>
  <si>
    <t>Открыть карточку мероприятия</t>
  </si>
  <si>
    <t>Зарегистрироваться на мероприятие</t>
  </si>
  <si>
    <t>Отменить свою регистрацию</t>
  </si>
  <si>
    <t>Просмотреть список своих регистраций</t>
  </si>
  <si>
    <t>Организатор</t>
  </si>
  <si>
    <t>Создать мероприятие</t>
  </si>
  <si>
    <t>Отредактировать мероприятие</t>
  </si>
  <si>
    <t>Установить лимит участников</t>
  </si>
  <si>
    <t>Просмотреть список участников</t>
  </si>
  <si>
    <t>Закрыть регистрацию на мероприятие</t>
  </si>
  <si>
    <t>A3</t>
  </si>
  <si>
    <t>BookSwap</t>
  </si>
  <si>
    <t>Владелец книги</t>
  </si>
  <si>
    <t>Создать объявление об учебнике</t>
  </si>
  <si>
    <t>Добавить фотографию обложки</t>
  </si>
  <si>
    <t>Выбрать способ передачи книги</t>
  </si>
  <si>
    <t>Найти книгу по названию</t>
  </si>
  <si>
    <t>Отфильтровать объявления по дисциплине</t>
  </si>
  <si>
    <t>Просмотреть объявление и состояние книги</t>
  </si>
  <si>
    <t>Отправить запрос на получение книги</t>
  </si>
  <si>
    <t>Принять или отклонить запрос</t>
  </si>
  <si>
    <t>Отметить книгу как переданную</t>
  </si>
  <si>
    <t>Просмотреть историю собственных запросов</t>
  </si>
  <si>
    <t>Оценить завершённый обмен</t>
  </si>
  <si>
    <t>A4</t>
  </si>
  <si>
    <t>SkillBridge</t>
  </si>
  <si>
    <t>Консультант</t>
  </si>
  <si>
    <t>Создать профиль с навыками</t>
  </si>
  <si>
    <t>Найти консультанта по дисциплине</t>
  </si>
  <si>
    <t>Отфильтровать консультантов по теме</t>
  </si>
  <si>
    <t>Просмотреть профиль консультанта</t>
  </si>
  <si>
    <t>Создать запрос на консультацию</t>
  </si>
  <si>
    <t>Предложить время встречи</t>
  </si>
  <si>
    <t>Подтвердить или отклонить запрос</t>
  </si>
  <si>
    <t>Участник консультации</t>
  </si>
  <si>
    <t>Отменить согласованную встречу</t>
  </si>
  <si>
    <t>Просмотреть предстоящие встречи</t>
  </si>
  <si>
    <t>Отметить консультацию завершённой</t>
  </si>
  <si>
    <t>Оставить отзыв по консультации</t>
  </si>
  <si>
    <t>Тип</t>
  </si>
  <si>
    <t>Вариант</t>
  </si>
  <si>
    <t>Участник 1</t>
  </si>
  <si>
    <t>Участник 2</t>
  </si>
  <si>
    <t>Участник 3</t>
  </si>
  <si>
    <t>Песс. min</t>
  </si>
  <si>
    <t>Ожид. median</t>
  </si>
  <si>
    <t>Оптим. max</t>
  </si>
  <si>
    <t>Важность</t>
  </si>
  <si>
    <t>—</t>
  </si>
  <si>
    <t>Ценность для студентов</t>
  </si>
  <si>
    <t>Проверяемость и демо</t>
  </si>
  <si>
    <t>Потенциал развития</t>
  </si>
  <si>
    <t>Альтернатива</t>
  </si>
  <si>
    <t>Нечёткий коллективный TOPSIS</t>
  </si>
  <si>
    <t>Треугольные числа сортируются из 3 индивидуальных баллов; для выгоды r=(l,m,u)/max_i(u); веса w=(l,m,u)/Σ median.</t>
  </si>
  <si>
    <t>1. Треугольные важности и нечёткие веса</t>
  </si>
  <si>
    <t>Название</t>
  </si>
  <si>
    <t>l</t>
  </si>
  <si>
    <t>m</t>
  </si>
  <si>
    <t>u</t>
  </si>
  <si>
    <t>w(l)</t>
  </si>
  <si>
    <t>w(m)</t>
  </si>
  <si>
    <t>w(u)</t>
  </si>
  <si>
    <t>max u оценок</t>
  </si>
  <si>
    <t>2. Нормализованная и взвешенная матрица — все 20 строк</t>
  </si>
  <si>
    <t>Alt</t>
  </si>
  <si>
    <t>K</t>
  </si>
  <si>
    <t>x(l)</t>
  </si>
  <si>
    <t>x(m)</t>
  </si>
  <si>
    <t>x(u)</t>
  </si>
  <si>
    <t>max u</t>
  </si>
  <si>
    <t>r(l)</t>
  </si>
  <si>
    <t>r(m)</t>
  </si>
  <si>
    <t>r(u)</t>
  </si>
  <si>
    <t>v(l)</t>
  </si>
  <si>
    <t>v(m)</t>
  </si>
  <si>
    <t>v(u)</t>
  </si>
  <si>
    <t>d+</t>
  </si>
  <si>
    <t>d−</t>
  </si>
  <si>
    <t>3. FPIS/FNIS — положительный и отрицательный идеалы по каждому критерию</t>
  </si>
  <si>
    <t>Идеал +: max v(u)</t>
  </si>
  <si>
    <t>Идеал −: min v(l)</t>
  </si>
  <si>
    <t>4. Итог: d+ / d− / коэффициент близости</t>
  </si>
  <si>
    <t>CC=d−/(d++d−)</t>
  </si>
  <si>
    <t>Место</t>
  </si>
  <si>
    <t>Индивидуальные попарные сравнения МАИ</t>
  </si>
  <si>
    <t>Шкала Саати 1–9 и обратные значения. В колонке H — геометрическое среднее 3 суждений. Все входные суждения — учебный пример.</t>
  </si>
  <si>
    <t>Матрица</t>
  </si>
  <si>
    <t>Основание</t>
  </si>
  <si>
    <t>Слева</t>
  </si>
  <si>
    <t>Справа</t>
  </si>
  <si>
    <t>Группа (геом. сред.)</t>
  </si>
  <si>
    <t>Критерии</t>
  </si>
  <si>
    <t>Важность критериев</t>
  </si>
  <si>
    <t>Коллективные матрицы МАИ и проверка согласованности</t>
  </si>
  <si>
    <t>Матрица группы — геометрическое среднее индивидуальных попарных суждений; локальные приоритеты — нормированные геометрические средние строк.</t>
  </si>
  <si>
    <t>Критерии K1–K5</t>
  </si>
  <si>
    <t>Объект</t>
  </si>
  <si>
    <t>Геом.</t>
  </si>
  <si>
    <t>Приоритет</t>
  </si>
  <si>
    <t>(Aw)/w</t>
  </si>
  <si>
    <t>λmax</t>
  </si>
  <si>
    <t>CI</t>
  </si>
  <si>
    <t>CR</t>
  </si>
  <si>
    <t>Статус</t>
  </si>
  <si>
    <t>Альтернативы по K1</t>
  </si>
  <si>
    <t>Альтернативы по K2</t>
  </si>
  <si>
    <t>Альтернативы по K3</t>
  </si>
  <si>
    <t>Альтернативы по K4</t>
  </si>
  <si>
    <t>Альтернативы по K5</t>
  </si>
  <si>
    <t>Аудит: индивидуальные матрицы 3 экспертов</t>
  </si>
  <si>
    <t>Каждая матрица строится из собственных суждений участника. CR должен быть не выше 0,10.</t>
  </si>
  <si>
    <t>Участник 1 | Критерии K1–K5</t>
  </si>
  <si>
    <t>Участник 1 | Альтернативы по K1</t>
  </si>
  <si>
    <t>Участник 1 | Альтернативы по K2</t>
  </si>
  <si>
    <t>Участник 1 | Альтернативы по K3</t>
  </si>
  <si>
    <t>Участник 1 | Альтернативы по K4</t>
  </si>
  <si>
    <t>Участник 1 | Альтернативы по K5</t>
  </si>
  <si>
    <t>Участник 2 | Критерии K1–K5</t>
  </si>
  <si>
    <t>Участник 2 | Альтернативы по K1</t>
  </si>
  <si>
    <t>Участник 2 | Альтернативы по K2</t>
  </si>
  <si>
    <t>Участник 2 | Альтернативы по K3</t>
  </si>
  <si>
    <t>Участник 2 | Альтернативы по K4</t>
  </si>
  <si>
    <t>Участник 2 | Альтернативы по K5</t>
  </si>
  <si>
    <t>Участник 3 | Критерии K1–K5</t>
  </si>
  <si>
    <t>Участник 3 | Альтернативы по K1</t>
  </si>
  <si>
    <t>Участник 3 | Альтернативы по K2</t>
  </si>
  <si>
    <t>Участник 3 | Альтернативы по K3</t>
  </si>
  <si>
    <t>Участник 3 | Альтернативы по K4</t>
  </si>
  <si>
    <t>Участник 3 | Альтернативы по K5</t>
  </si>
  <si>
    <t>Коллективный МАИ — синтез приоритетов</t>
  </si>
  <si>
    <t>1. Веса критериев (коллективная матрица)</t>
  </si>
  <si>
    <t>Вес (МАИ)</t>
  </si>
  <si>
    <t>Описание</t>
  </si>
  <si>
    <t>Проверка Σ</t>
  </si>
  <si>
    <t>2. Локальные приоритеты и общий итог</t>
  </si>
  <si>
    <t>Итоговый вес</t>
  </si>
  <si>
    <t>Проверка суммы</t>
  </si>
  <si>
    <t>3. Индекс согласованности (CR): групповые матрицы</t>
  </si>
  <si>
    <t>Контроль</t>
  </si>
  <si>
    <t>4. Проверка согласованности отдельных экспертов</t>
  </si>
  <si>
    <t>Эксперт</t>
  </si>
  <si>
    <t>Декомпозиция работ фазы 1 — ПЛАН</t>
  </si>
  <si>
    <t>ID</t>
  </si>
  <si>
    <t>Задача</t>
  </si>
  <si>
    <t>Начало</t>
  </si>
  <si>
    <t>Окончание</t>
  </si>
  <si>
    <t>У1, ч</t>
  </si>
  <si>
    <t>У2, ч</t>
  </si>
  <si>
    <t>У3, ч</t>
  </si>
  <si>
    <t>Всего, чел·ч</t>
  </si>
  <si>
    <t>Артефакт</t>
  </si>
  <si>
    <t>T01</t>
  </si>
  <si>
    <t>Установочная встреча, правила и роли</t>
  </si>
  <si>
    <t>Протокол встречи</t>
  </si>
  <si>
    <t>T02</t>
  </si>
  <si>
    <t>Концепция и 12 UC StudyFlow</t>
  </si>
  <si>
    <t>Паспорт A1</t>
  </si>
  <si>
    <t>T03</t>
  </si>
  <si>
    <t>Концепция и 12 UC CampusEvents</t>
  </si>
  <si>
    <t>Паспорт A2</t>
  </si>
  <si>
    <t>T04</t>
  </si>
  <si>
    <t>Концепция и 12 UC BookSwap</t>
  </si>
  <si>
    <t>Паспорт A3</t>
  </si>
  <si>
    <t>T05</t>
  </si>
  <si>
    <t>Концепция и 12 UC SkillBridge</t>
  </si>
  <si>
    <t>Паспорт A4</t>
  </si>
  <si>
    <t>T06</t>
  </si>
  <si>
    <t>Критерии, шкала и формулировки</t>
  </si>
  <si>
    <t>T07</t>
  </si>
  <si>
    <t>Независимые балльные оценки (TOPSIS)</t>
  </si>
  <si>
    <t>3 опросных листа</t>
  </si>
  <si>
    <t>T08</t>
  </si>
  <si>
    <t>Расчёт коллективного нечёткого TOPSIS</t>
  </si>
  <si>
    <t>Таблица TOPSIS</t>
  </si>
  <si>
    <t>T09</t>
  </si>
  <si>
    <t>Независимые попарные сравнения МАИ</t>
  </si>
  <si>
    <t>3 комплекта суждений</t>
  </si>
  <si>
    <t>T10</t>
  </si>
  <si>
    <t>Агрегация МАИ и проверка CR</t>
  </si>
  <si>
    <t>Матрицы МАИ</t>
  </si>
  <si>
    <t>T11</t>
  </si>
  <si>
    <t>Сопоставление и анализ чувствительности</t>
  </si>
  <si>
    <t>Сравнительная таблица</t>
  </si>
  <si>
    <t>T12</t>
  </si>
  <si>
    <t>Общая встреча и решение команды</t>
  </si>
  <si>
    <t>Протокол выбора</t>
  </si>
  <si>
    <t>T13</t>
  </si>
  <si>
    <t>Сборка отчёта и актуализация RACI</t>
  </si>
  <si>
    <t>Отчёт + RACI v1</t>
  </si>
  <si>
    <t>T14</t>
  </si>
  <si>
    <t>Взаимная проверка методики и результатов</t>
  </si>
  <si>
    <t>Чек-лист проверки</t>
  </si>
  <si>
    <t>T15</t>
  </si>
  <si>
    <t>Публикация материалов в общей папке</t>
  </si>
  <si>
    <t>Ссылка на архив</t>
  </si>
  <si>
    <t>ИТОГО</t>
  </si>
  <si>
    <t>Единая матрица RACI — версия 1 / фаза 1</t>
  </si>
  <si>
    <t>A — отвечает за результат; R — выполняет; C — консультирует; I — информируется. Одна A на каждую задачу. Новые фазы добавляются ниже.</t>
  </si>
  <si>
    <t>Работа</t>
  </si>
  <si>
    <t>Основание назначения</t>
  </si>
  <si>
    <t>A/R</t>
  </si>
  <si>
    <t>R</t>
  </si>
  <si>
    <t>Координатор У1 ведёт протокол, все участвуют</t>
  </si>
  <si>
    <t>I</t>
  </si>
  <si>
    <t>У1 — контент и декомпозиция</t>
  </si>
  <si>
    <t>У2 — альтернатива и предметные сценарии</t>
  </si>
  <si>
    <t>C</t>
  </si>
  <si>
    <t>У3 — владелец концепции, У1 проверяет</t>
  </si>
  <si>
    <t>У3 — владелец концепции, У2 проверяет</t>
  </si>
  <si>
    <t>У1 унифицирует критерии, У2 и У3 проверяют</t>
  </si>
  <si>
    <t>Каждый выставляет оценки самостоятельно</t>
  </si>
  <si>
    <t>У2 ведёт численный TOPSIS</t>
  </si>
  <si>
    <t>Каждый заполняет парные сравнения; У3 собирает</t>
  </si>
  <si>
    <t>У3 рассчитывает и проверяет МАИ</t>
  </si>
  <si>
    <t>У2 сравнивает результаты, У3 выполняет часть анализа</t>
  </si>
  <si>
    <t>Все принимают решение, У1 протоколирует</t>
  </si>
  <si>
    <t>У1 владелец финального отчёта и RACI</t>
  </si>
  <si>
    <t>У3 осуществляет независимую проверку</t>
  </si>
  <si>
    <t>У1 публикует единую версию артефактов</t>
  </si>
  <si>
    <t>Фаза 1 | Выбор концепции проекта</t>
  </si>
  <si>
    <t>Исходные ограничения</t>
  </si>
  <si>
    <t>Участников</t>
  </si>
  <si>
    <t>3</t>
  </si>
  <si>
    <t>Концепций</t>
  </si>
  <si>
    <t>4</t>
  </si>
  <si>
    <t>Use Cases для каждой</t>
  </si>
  <si>
    <t>12</t>
  </si>
  <si>
    <t>Критериев</t>
  </si>
  <si>
    <t>5</t>
  </si>
  <si>
    <t>Итоги ранжирования</t>
  </si>
  <si>
    <t>TOPSIS: CC</t>
  </si>
  <si>
    <t>МАИ: вес</t>
  </si>
  <si>
    <t>Плановая трудоёмкость фазы</t>
  </si>
  <si>
    <t>Суммарно, чел·ч</t>
  </si>
  <si>
    <t>Редактировать: лист «Оценки» (E:G), лист «МАИ суждения» (E:G), лист «Задачи» (даты/часы/статусы). Расчётные столбцы связаны формулами.</t>
  </si>
  <si>
    <t>Методика и ссылки</t>
  </si>
  <si>
    <t>Источник</t>
  </si>
  <si>
    <t>URL / применение</t>
  </si>
  <si>
    <t>Chen, C.-T. (2000)</t>
  </si>
  <si>
    <t>https://doi.org/10.1016/S0165-0114(97)00377-1 — fuzzy TOPSIS, треугольные числа, вершинное расстояние</t>
  </si>
  <si>
    <t>Fuzzy TOPSIS (open access)</t>
  </si>
  <si>
    <t>https://pmc.ncbi.nlm.nih.gov/articles/PMC4864887/ — вычисление vertex distance</t>
  </si>
  <si>
    <t>AHP, групповое решение</t>
  </si>
  <si>
    <t>https://link.springer.com/article/10.1007/s10726-015-9448-4 — агрегирование оценок геометрическим средним</t>
  </si>
  <si>
    <t>AHP, согласованность</t>
  </si>
  <si>
    <t>https://pmc.ncbi.nlm.nih.gov/articles/PMC2650240/ — CR ≤ 0,10</t>
  </si>
  <si>
    <t>Все экспертные оценки и пары — модельный пример; демонстрационная методика, не реальные протоколы участников</t>
  </si>
  <si>
    <t>Оценки трёх участников</t>
  </si>
  <si>
    <t>Выполнено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</si>
</sst>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dd\.mm\.yyyy"/>
    <numFmt numFmtId="167" formatCode="0.0"/>
  </numFmts>
  <fonts count="6">
    <font>
      <sz val="11"/>
      <name val="Carlito"/>
    </font>
    <font>
      <sz val="10"/>
      <color rgb="FF24334A"/>
      <name val="Aptos"/>
    </font>
    <font>
      <b/>
      <sz val="17"/>
      <color rgb="FFFFFFFF"/>
      <name val="Aptos"/>
    </font>
    <font>
      <b/>
      <sz val="10"/>
      <color rgb="FFFFFFFF"/>
      <name val="Aptos"/>
    </font>
    <font>
      <b/>
      <sz val="11"/>
      <color rgb="FF007F86"/>
      <name val="Aptos"/>
    </font>
    <font>
      <b/>
      <sz val="10"/>
      <color rgb="FF007F86"/>
      <name val="Aptos"/>
    </font>
  </fonts>
  <fills count="8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007F86"/>
      </patternFill>
    </fill>
    <fill>
      <patternFill patternType="solid">
        <fgColor rgb="FFE8F5F4"/>
      </patternFill>
    </fill>
    <fill>
      <patternFill patternType="solid">
        <fgColor rgb="FFE9F2FF"/>
      </patternFill>
    </fill>
    <fill>
      <patternFill patternType="solid">
        <fgColor rgb="FFF1F5F9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5" borderId="0" xfId="0" applyFont="1" applyFill="1"/>
    <xf numFmtId="0" fontId="1" fillId="6" borderId="0" xfId="0" applyFont="1" applyFill="1"/>
    <xf numFmtId="164" fontId="1" fillId="0" borderId="0" xfId="0" applyNumberFormat="1" applyFont="1"/>
    <xf numFmtId="164" fontId="1" fillId="4" borderId="0" xfId="0" applyNumberFormat="1" applyFont="1" applyFill="1"/>
    <xf numFmtId="164" fontId="1" fillId="6" borderId="0" xfId="0" applyNumberFormat="1" applyFont="1" applyFill="1"/>
    <xf numFmtId="165" fontId="1" fillId="5" borderId="0" xfId="0" applyNumberFormat="1" applyFont="1" applyFill="1"/>
    <xf numFmtId="165" fontId="1" fillId="6" borderId="0" xfId="0" applyNumberFormat="1" applyFont="1" applyFill="1"/>
    <xf numFmtId="166" fontId="1" fillId="0" borderId="0" xfId="0" applyNumberFormat="1" applyFont="1"/>
    <xf numFmtId="167" fontId="1" fillId="0" borderId="0" xfId="0" applyNumberFormat="1" applyFont="1"/>
    <xf numFmtId="167" fontId="5" fillId="4" borderId="0" xfId="0" applyNumberFormat="1" applyFont="1" applyFill="1"/>
    <xf numFmtId="167" fontId="1" fillId="5" borderId="0" xfId="0" applyNumberFormat="1" applyFont="1" applyFill="1"/>
    <xf numFmtId="0" fontId="2" fillId="2" borderId="0" xfId="0" applyFont="1" applyFill="1" applyAlignment="1">
      <alignment vertical="center"/>
    </xf>
    <xf numFmtId="0" fontId="1" fillId="0" borderId="0" xfId="0" applyFont="1"/>
    <xf numFmtId="0" fontId="4" fillId="4" borderId="0" xfId="0" applyFont="1" applyFill="1"/>
    <xf numFmtId="0" fontId="1" fillId="0" borderId="0" xfId="0" applyFont="1" applyAlignment="1">
      <alignment wrapText="1"/>
    </xf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Нечёткий TOPSIS (CC)</c:v>
          </c:tx>
          <c:invertIfNegative val="1"/>
          <c:cat>
            <c:strRef>
              <c:f>Обзор!$A$12:$A$15</c:f>
              <c:strCache>
                <c:ptCount val="4"/>
                <c:pt idx="0">
                  <c:v>StudyFlow</c:v>
                </c:pt>
                <c:pt idx="1">
                  <c:v>CampusEvents</c:v>
                </c:pt>
                <c:pt idx="2">
                  <c:v>BookSwap</c:v>
                </c:pt>
                <c:pt idx="3">
                  <c:v>SkillBridge</c:v>
                </c:pt>
              </c:strCache>
            </c:strRef>
          </c:cat>
          <c:val>
            <c:numRef>
              <c:f>Обзор!$B$12:$B$15</c:f>
              <c:numCache>
                <c:formatCode>0.0000</c:formatCode>
                <c:ptCount val="4"/>
                <c:pt idx="0">
                  <c:v>0.5873109705698053</c:v>
                </c:pt>
                <c:pt idx="1">
                  <c:v>0.70407472472730215</c:v>
                </c:pt>
                <c:pt idx="2">
                  <c:v>0.55783567774617326</c:v>
                </c:pt>
                <c:pt idx="3">
                  <c:v>0.45054950249489317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1-46CE-BDE0-47664957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Коллективный МАИ (приоритет)</c:v>
          </c:tx>
          <c:invertIfNegative val="1"/>
          <c:cat>
            <c:strRef>
              <c:f>Обзор!$A$12:$A$15</c:f>
              <c:strCache>
                <c:ptCount val="4"/>
                <c:pt idx="0">
                  <c:v>StudyFlow</c:v>
                </c:pt>
                <c:pt idx="1">
                  <c:v>CampusEvents</c:v>
                </c:pt>
                <c:pt idx="2">
                  <c:v>BookSwap</c:v>
                </c:pt>
                <c:pt idx="3">
                  <c:v>SkillBridge</c:v>
                </c:pt>
              </c:strCache>
            </c:strRef>
          </c:cat>
          <c:val>
            <c:numRef>
              <c:f>Обзор!$D$12:$D$15</c:f>
              <c:numCache>
                <c:formatCode>0.0000</c:formatCode>
                <c:ptCount val="4"/>
                <c:pt idx="0">
                  <c:v>0.28276853557431625</c:v>
                </c:pt>
                <c:pt idx="1">
                  <c:v>0.33127616191101683</c:v>
                </c:pt>
                <c:pt idx="2">
                  <c:v>0.22131153287406868</c:v>
                </c:pt>
                <c:pt idx="3">
                  <c:v>0.16464376964059846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4-45C3-9B9B-53C6E964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0"/>
  <sheetViews>
    <sheetView workbookViewId="0">
      <selection sqref="A1:E2"/>
    </sheetView>
  </sheetViews>
  <sheetFormatPr defaultRowHeight="13.8"/>
  <cols>
    <col min="1" max="1" width="9" customWidth="1"/>
    <col min="2" max="2" width="34" customWidth="1"/>
    <col min="3" max="3" width="62" customWidth="1"/>
    <col min="4" max="4" width="48" customWidth="1"/>
    <col min="5" max="5" width="14" customWidth="1"/>
  </cols>
  <sheetData>
    <row r="1" spans="1:17" ht="19.2" customHeight="1">
      <c r="A1" s="17" t="s">
        <v>0</v>
      </c>
      <c r="B1" s="17"/>
      <c r="C1" s="17"/>
      <c r="D1" s="17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.2" customHeight="1">
      <c r="A2" s="17"/>
      <c r="B2" s="17"/>
      <c r="C2" s="17"/>
      <c r="D2" s="17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15" customHeight="1">
      <c r="A3" s="18" t="s">
        <v>1</v>
      </c>
      <c r="B3" s="18"/>
      <c r="C3" s="18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 customHeight="1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3.95" customHeight="1">
      <c r="A6" s="1" t="s">
        <v>6</v>
      </c>
      <c r="B6" s="3" t="s">
        <v>7</v>
      </c>
      <c r="C6" s="3" t="s">
        <v>8</v>
      </c>
      <c r="D6" s="3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3.95" customHeight="1">
      <c r="A7" s="1" t="s">
        <v>10</v>
      </c>
      <c r="B7" s="3" t="s">
        <v>11</v>
      </c>
      <c r="C7" s="3" t="s">
        <v>12</v>
      </c>
      <c r="D7" s="3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3.95" customHeight="1">
      <c r="A8" s="1" t="s">
        <v>14</v>
      </c>
      <c r="B8" s="3" t="s">
        <v>15</v>
      </c>
      <c r="C8" s="3" t="s">
        <v>16</v>
      </c>
      <c r="D8" s="3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3.95" customHeight="1">
      <c r="A9" s="1" t="s">
        <v>18</v>
      </c>
      <c r="B9" s="3" t="s">
        <v>19</v>
      </c>
      <c r="C9" s="3" t="s">
        <v>20</v>
      </c>
      <c r="D9" s="3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3.95" customHeight="1">
      <c r="A10" s="1" t="s">
        <v>22</v>
      </c>
      <c r="B10" s="3" t="s">
        <v>23</v>
      </c>
      <c r="C10" s="3" t="s">
        <v>24</v>
      </c>
      <c r="D10" s="3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0.85" customHeight="1">
      <c r="A13" s="19" t="s">
        <v>26</v>
      </c>
      <c r="B13" s="19"/>
      <c r="C13" s="19"/>
      <c r="D13" s="1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8.8" customHeight="1">
      <c r="A14" s="20" t="s">
        <v>27</v>
      </c>
      <c r="B14" s="20"/>
      <c r="C14" s="20"/>
      <c r="D14" s="2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8.8" customHeight="1">
      <c r="A15" s="20"/>
      <c r="B15" s="20"/>
      <c r="C15" s="20"/>
      <c r="D15" s="2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4">
    <mergeCell ref="A1:E2"/>
    <mergeCell ref="A3:E3"/>
    <mergeCell ref="A13:D13"/>
    <mergeCell ref="A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0"/>
  <sheetViews>
    <sheetView workbookViewId="0">
      <pane ySplit="5" topLeftCell="A6" activePane="bottomLeft" state="frozen"/>
      <selection pane="bottomLeft" activeCell="A3" sqref="A3:XFD3"/>
    </sheetView>
  </sheetViews>
  <sheetFormatPr defaultRowHeight="13.8"/>
  <cols>
    <col min="1" max="1" width="12" customWidth="1"/>
    <col min="2" max="2" width="23" customWidth="1"/>
    <col min="3" max="3" width="12" customWidth="1"/>
    <col min="4" max="4" width="24" customWidth="1"/>
    <col min="5" max="5" width="60" customWidth="1"/>
  </cols>
  <sheetData>
    <row r="1" spans="1:17" ht="24" customHeight="1">
      <c r="A1" s="17" t="s">
        <v>28</v>
      </c>
      <c r="B1" s="17"/>
      <c r="C1" s="17"/>
      <c r="D1" s="17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9.05" customHeight="1">
      <c r="A3" s="18"/>
      <c r="B3" s="18"/>
      <c r="C3" s="18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9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0" customHeight="1">
      <c r="A5" s="2" t="s">
        <v>2</v>
      </c>
      <c r="B5" s="2" t="s">
        <v>29</v>
      </c>
      <c r="C5" s="2" t="s">
        <v>30</v>
      </c>
      <c r="D5" s="2" t="s">
        <v>31</v>
      </c>
      <c r="E5" s="2" t="s">
        <v>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5.95" customHeight="1">
      <c r="A6" s="4" t="s">
        <v>33</v>
      </c>
      <c r="B6" s="4" t="s">
        <v>34</v>
      </c>
      <c r="C6" s="4" t="s">
        <v>35</v>
      </c>
      <c r="D6" s="5" t="s">
        <v>36</v>
      </c>
      <c r="E6" s="5" t="s">
        <v>37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5.95" customHeight="1">
      <c r="A7" s="1" t="s">
        <v>33</v>
      </c>
      <c r="B7" s="1" t="s">
        <v>34</v>
      </c>
      <c r="C7" s="1" t="s">
        <v>38</v>
      </c>
      <c r="D7" s="3" t="s">
        <v>36</v>
      </c>
      <c r="E7" s="3" t="s">
        <v>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5.95" customHeight="1">
      <c r="A8" s="1" t="s">
        <v>33</v>
      </c>
      <c r="B8" s="1" t="s">
        <v>34</v>
      </c>
      <c r="C8" s="1" t="s">
        <v>40</v>
      </c>
      <c r="D8" s="3" t="s">
        <v>36</v>
      </c>
      <c r="E8" s="3" t="s">
        <v>41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5.95" customHeight="1">
      <c r="A9" s="1" t="s">
        <v>33</v>
      </c>
      <c r="B9" s="1" t="s">
        <v>34</v>
      </c>
      <c r="C9" s="1" t="s">
        <v>42</v>
      </c>
      <c r="D9" s="3" t="s">
        <v>43</v>
      </c>
      <c r="E9" s="3" t="s">
        <v>44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5.95" customHeight="1">
      <c r="A10" s="1" t="s">
        <v>33</v>
      </c>
      <c r="B10" s="1" t="s">
        <v>34</v>
      </c>
      <c r="C10" s="1" t="s">
        <v>45</v>
      </c>
      <c r="D10" s="3" t="s">
        <v>43</v>
      </c>
      <c r="E10" s="3" t="s">
        <v>46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5.95" customHeight="1">
      <c r="A11" s="1" t="s">
        <v>33</v>
      </c>
      <c r="B11" s="1" t="s">
        <v>34</v>
      </c>
      <c r="C11" s="1" t="s">
        <v>47</v>
      </c>
      <c r="D11" s="3" t="s">
        <v>43</v>
      </c>
      <c r="E11" s="3" t="s">
        <v>48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5.95" customHeight="1">
      <c r="A12" s="1" t="s">
        <v>33</v>
      </c>
      <c r="B12" s="1" t="s">
        <v>34</v>
      </c>
      <c r="C12" s="1" t="s">
        <v>49</v>
      </c>
      <c r="D12" s="3" t="s">
        <v>43</v>
      </c>
      <c r="E12" s="3" t="s">
        <v>50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5.95" customHeight="1">
      <c r="A13" s="1" t="s">
        <v>33</v>
      </c>
      <c r="B13" s="1" t="s">
        <v>34</v>
      </c>
      <c r="C13" s="1" t="s">
        <v>51</v>
      </c>
      <c r="D13" s="3" t="s">
        <v>52</v>
      </c>
      <c r="E13" s="3" t="s">
        <v>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5.95" customHeight="1">
      <c r="A14" s="1" t="s">
        <v>33</v>
      </c>
      <c r="B14" s="1" t="s">
        <v>34</v>
      </c>
      <c r="C14" s="1" t="s">
        <v>54</v>
      </c>
      <c r="D14" s="3" t="s">
        <v>43</v>
      </c>
      <c r="E14" s="3" t="s">
        <v>55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5.95" customHeight="1">
      <c r="A15" s="1" t="s">
        <v>33</v>
      </c>
      <c r="B15" s="1" t="s">
        <v>34</v>
      </c>
      <c r="C15" s="1" t="s">
        <v>56</v>
      </c>
      <c r="D15" s="3" t="s">
        <v>43</v>
      </c>
      <c r="E15" s="3" t="s">
        <v>57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5.95" customHeight="1">
      <c r="A16" s="1" t="s">
        <v>33</v>
      </c>
      <c r="B16" s="1" t="s">
        <v>34</v>
      </c>
      <c r="C16" s="1" t="s">
        <v>58</v>
      </c>
      <c r="D16" s="3" t="s">
        <v>43</v>
      </c>
      <c r="E16" s="3" t="s">
        <v>59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5.95" customHeight="1">
      <c r="A17" s="1" t="s">
        <v>33</v>
      </c>
      <c r="B17" s="1" t="s">
        <v>34</v>
      </c>
      <c r="C17" s="1" t="s">
        <v>60</v>
      </c>
      <c r="D17" s="3" t="s">
        <v>43</v>
      </c>
      <c r="E17" s="3" t="s">
        <v>61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5.95" customHeight="1">
      <c r="A18" s="4" t="s">
        <v>62</v>
      </c>
      <c r="B18" s="4" t="s">
        <v>63</v>
      </c>
      <c r="C18" s="4" t="s">
        <v>35</v>
      </c>
      <c r="D18" s="5" t="s">
        <v>64</v>
      </c>
      <c r="E18" s="5" t="s">
        <v>65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5.95" customHeight="1">
      <c r="A19" s="1" t="s">
        <v>62</v>
      </c>
      <c r="B19" s="1" t="s">
        <v>63</v>
      </c>
      <c r="C19" s="1" t="s">
        <v>38</v>
      </c>
      <c r="D19" s="3" t="s">
        <v>36</v>
      </c>
      <c r="E19" s="3" t="s">
        <v>66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5.95" customHeight="1">
      <c r="A20" s="1" t="s">
        <v>62</v>
      </c>
      <c r="B20" s="1" t="s">
        <v>63</v>
      </c>
      <c r="C20" s="1" t="s">
        <v>40</v>
      </c>
      <c r="D20" s="3" t="s">
        <v>36</v>
      </c>
      <c r="E20" s="3" t="s">
        <v>67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5.95" customHeight="1">
      <c r="A21" s="1" t="s">
        <v>62</v>
      </c>
      <c r="B21" s="1" t="s">
        <v>63</v>
      </c>
      <c r="C21" s="1" t="s">
        <v>42</v>
      </c>
      <c r="D21" s="3" t="s">
        <v>36</v>
      </c>
      <c r="E21" s="3" t="s">
        <v>68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5.95" customHeight="1">
      <c r="A22" s="1" t="s">
        <v>62</v>
      </c>
      <c r="B22" s="1" t="s">
        <v>63</v>
      </c>
      <c r="C22" s="1" t="s">
        <v>45</v>
      </c>
      <c r="D22" s="3" t="s">
        <v>36</v>
      </c>
      <c r="E22" s="3" t="s">
        <v>69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5.95" customHeight="1">
      <c r="A23" s="1" t="s">
        <v>62</v>
      </c>
      <c r="B23" s="1" t="s">
        <v>63</v>
      </c>
      <c r="C23" s="1" t="s">
        <v>47</v>
      </c>
      <c r="D23" s="3" t="s">
        <v>36</v>
      </c>
      <c r="E23" s="3" t="s">
        <v>70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5.95" customHeight="1">
      <c r="A24" s="1" t="s">
        <v>62</v>
      </c>
      <c r="B24" s="1" t="s">
        <v>63</v>
      </c>
      <c r="C24" s="1" t="s">
        <v>49</v>
      </c>
      <c r="D24" s="3" t="s">
        <v>36</v>
      </c>
      <c r="E24" s="3" t="s">
        <v>71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5.95" customHeight="1">
      <c r="A25" s="1" t="s">
        <v>62</v>
      </c>
      <c r="B25" s="1" t="s">
        <v>63</v>
      </c>
      <c r="C25" s="1" t="s">
        <v>51</v>
      </c>
      <c r="D25" s="3" t="s">
        <v>72</v>
      </c>
      <c r="E25" s="3" t="s">
        <v>73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5.95" customHeight="1">
      <c r="A26" s="1" t="s">
        <v>62</v>
      </c>
      <c r="B26" s="1" t="s">
        <v>63</v>
      </c>
      <c r="C26" s="1" t="s">
        <v>54</v>
      </c>
      <c r="D26" s="3" t="s">
        <v>72</v>
      </c>
      <c r="E26" s="3" t="s">
        <v>74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5.95" customHeight="1">
      <c r="A27" s="1" t="s">
        <v>62</v>
      </c>
      <c r="B27" s="1" t="s">
        <v>63</v>
      </c>
      <c r="C27" s="1" t="s">
        <v>56</v>
      </c>
      <c r="D27" s="3" t="s">
        <v>72</v>
      </c>
      <c r="E27" s="3" t="s">
        <v>75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5.95" customHeight="1">
      <c r="A28" s="1" t="s">
        <v>62</v>
      </c>
      <c r="B28" s="1" t="s">
        <v>63</v>
      </c>
      <c r="C28" s="1" t="s">
        <v>58</v>
      </c>
      <c r="D28" s="3" t="s">
        <v>72</v>
      </c>
      <c r="E28" s="3" t="s">
        <v>76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5.95" customHeight="1">
      <c r="A29" s="1" t="s">
        <v>62</v>
      </c>
      <c r="B29" s="1" t="s">
        <v>63</v>
      </c>
      <c r="C29" s="1" t="s">
        <v>60</v>
      </c>
      <c r="D29" s="3" t="s">
        <v>72</v>
      </c>
      <c r="E29" s="3" t="s">
        <v>77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5.95" customHeight="1">
      <c r="A30" s="4" t="s">
        <v>78</v>
      </c>
      <c r="B30" s="4" t="s">
        <v>79</v>
      </c>
      <c r="C30" s="4" t="s">
        <v>35</v>
      </c>
      <c r="D30" s="5" t="s">
        <v>36</v>
      </c>
      <c r="E30" s="5" t="s">
        <v>65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5.95" customHeight="1">
      <c r="A31" s="1" t="s">
        <v>78</v>
      </c>
      <c r="B31" s="1" t="s">
        <v>79</v>
      </c>
      <c r="C31" s="1" t="s">
        <v>38</v>
      </c>
      <c r="D31" s="3" t="s">
        <v>80</v>
      </c>
      <c r="E31" s="3" t="s">
        <v>81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5.95" customHeight="1">
      <c r="A32" s="1" t="s">
        <v>78</v>
      </c>
      <c r="B32" s="1" t="s">
        <v>79</v>
      </c>
      <c r="C32" s="1" t="s">
        <v>40</v>
      </c>
      <c r="D32" s="3" t="s">
        <v>80</v>
      </c>
      <c r="E32" s="3" t="s">
        <v>82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5.95" customHeight="1">
      <c r="A33" s="1" t="s">
        <v>78</v>
      </c>
      <c r="B33" s="1" t="s">
        <v>79</v>
      </c>
      <c r="C33" s="1" t="s">
        <v>42</v>
      </c>
      <c r="D33" s="3" t="s">
        <v>80</v>
      </c>
      <c r="E33" s="3" t="s">
        <v>83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5.95" customHeight="1">
      <c r="A34" s="1" t="s">
        <v>78</v>
      </c>
      <c r="B34" s="1" t="s">
        <v>79</v>
      </c>
      <c r="C34" s="1" t="s">
        <v>45</v>
      </c>
      <c r="D34" s="3" t="s">
        <v>36</v>
      </c>
      <c r="E34" s="3" t="s">
        <v>84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5.95" customHeight="1">
      <c r="A35" s="1" t="s">
        <v>78</v>
      </c>
      <c r="B35" s="1" t="s">
        <v>79</v>
      </c>
      <c r="C35" s="1" t="s">
        <v>47</v>
      </c>
      <c r="D35" s="3" t="s">
        <v>36</v>
      </c>
      <c r="E35" s="3" t="s">
        <v>85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5.95" customHeight="1">
      <c r="A36" s="1" t="s">
        <v>78</v>
      </c>
      <c r="B36" s="1" t="s">
        <v>79</v>
      </c>
      <c r="C36" s="1" t="s">
        <v>49</v>
      </c>
      <c r="D36" s="3" t="s">
        <v>36</v>
      </c>
      <c r="E36" s="3" t="s">
        <v>86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5.95" customHeight="1">
      <c r="A37" s="1" t="s">
        <v>78</v>
      </c>
      <c r="B37" s="1" t="s">
        <v>79</v>
      </c>
      <c r="C37" s="1" t="s">
        <v>51</v>
      </c>
      <c r="D37" s="3" t="s">
        <v>36</v>
      </c>
      <c r="E37" s="3" t="s">
        <v>87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5.95" customHeight="1">
      <c r="A38" s="1" t="s">
        <v>78</v>
      </c>
      <c r="B38" s="1" t="s">
        <v>79</v>
      </c>
      <c r="C38" s="1" t="s">
        <v>54</v>
      </c>
      <c r="D38" s="3" t="s">
        <v>80</v>
      </c>
      <c r="E38" s="3" t="s">
        <v>88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5.95" customHeight="1">
      <c r="A39" s="1" t="s">
        <v>78</v>
      </c>
      <c r="B39" s="1" t="s">
        <v>79</v>
      </c>
      <c r="C39" s="1" t="s">
        <v>56</v>
      </c>
      <c r="D39" s="3" t="s">
        <v>80</v>
      </c>
      <c r="E39" s="3" t="s">
        <v>89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5.95" customHeight="1">
      <c r="A40" s="1" t="s">
        <v>78</v>
      </c>
      <c r="B40" s="1" t="s">
        <v>79</v>
      </c>
      <c r="C40" s="1" t="s">
        <v>58</v>
      </c>
      <c r="D40" s="3" t="s">
        <v>36</v>
      </c>
      <c r="E40" s="3" t="s">
        <v>90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5.95" customHeight="1">
      <c r="A41" s="1" t="s">
        <v>78</v>
      </c>
      <c r="B41" s="1" t="s">
        <v>79</v>
      </c>
      <c r="C41" s="1" t="s">
        <v>60</v>
      </c>
      <c r="D41" s="3" t="s">
        <v>36</v>
      </c>
      <c r="E41" s="3" t="s">
        <v>91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5.95" customHeight="1">
      <c r="A42" s="4" t="s">
        <v>92</v>
      </c>
      <c r="B42" s="4" t="s">
        <v>93</v>
      </c>
      <c r="C42" s="4" t="s">
        <v>35</v>
      </c>
      <c r="D42" s="5" t="s">
        <v>36</v>
      </c>
      <c r="E42" s="5" t="s">
        <v>65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5.95" customHeight="1">
      <c r="A43" s="1" t="s">
        <v>92</v>
      </c>
      <c r="B43" s="1" t="s">
        <v>93</v>
      </c>
      <c r="C43" s="1" t="s">
        <v>38</v>
      </c>
      <c r="D43" s="3" t="s">
        <v>94</v>
      </c>
      <c r="E43" s="3" t="s">
        <v>95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5.95" customHeight="1">
      <c r="A44" s="1" t="s">
        <v>92</v>
      </c>
      <c r="B44" s="1" t="s">
        <v>93</v>
      </c>
      <c r="C44" s="1" t="s">
        <v>40</v>
      </c>
      <c r="D44" s="3" t="s">
        <v>36</v>
      </c>
      <c r="E44" s="3" t="s">
        <v>96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5.95" customHeight="1">
      <c r="A45" s="1" t="s">
        <v>92</v>
      </c>
      <c r="B45" s="1" t="s">
        <v>93</v>
      </c>
      <c r="C45" s="1" t="s">
        <v>42</v>
      </c>
      <c r="D45" s="3" t="s">
        <v>36</v>
      </c>
      <c r="E45" s="3" t="s">
        <v>97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5.95" customHeight="1">
      <c r="A46" s="1" t="s">
        <v>92</v>
      </c>
      <c r="B46" s="1" t="s">
        <v>93</v>
      </c>
      <c r="C46" s="1" t="s">
        <v>45</v>
      </c>
      <c r="D46" s="3" t="s">
        <v>36</v>
      </c>
      <c r="E46" s="3" t="s">
        <v>98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5.95" customHeight="1">
      <c r="A47" s="1" t="s">
        <v>92</v>
      </c>
      <c r="B47" s="1" t="s">
        <v>93</v>
      </c>
      <c r="C47" s="1" t="s">
        <v>47</v>
      </c>
      <c r="D47" s="3" t="s">
        <v>36</v>
      </c>
      <c r="E47" s="3" t="s">
        <v>99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5.95" customHeight="1">
      <c r="A48" s="1" t="s">
        <v>92</v>
      </c>
      <c r="B48" s="1" t="s">
        <v>93</v>
      </c>
      <c r="C48" s="1" t="s">
        <v>49</v>
      </c>
      <c r="D48" s="3" t="s">
        <v>36</v>
      </c>
      <c r="E48" s="3" t="s">
        <v>100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5.95" customHeight="1">
      <c r="A49" s="1" t="s">
        <v>92</v>
      </c>
      <c r="B49" s="1" t="s">
        <v>93</v>
      </c>
      <c r="C49" s="1" t="s">
        <v>51</v>
      </c>
      <c r="D49" s="3" t="s">
        <v>94</v>
      </c>
      <c r="E49" s="3" t="s">
        <v>101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5.95" customHeight="1">
      <c r="A50" s="1" t="s">
        <v>92</v>
      </c>
      <c r="B50" s="1" t="s">
        <v>93</v>
      </c>
      <c r="C50" s="1" t="s">
        <v>54</v>
      </c>
      <c r="D50" s="3" t="s">
        <v>102</v>
      </c>
      <c r="E50" s="3" t="s">
        <v>103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5.95" customHeight="1">
      <c r="A51" s="1" t="s">
        <v>92</v>
      </c>
      <c r="B51" s="1" t="s">
        <v>93</v>
      </c>
      <c r="C51" s="1" t="s">
        <v>56</v>
      </c>
      <c r="D51" s="3" t="s">
        <v>102</v>
      </c>
      <c r="E51" s="3" t="s">
        <v>104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25.95" customHeight="1">
      <c r="A52" s="1" t="s">
        <v>92</v>
      </c>
      <c r="B52" s="1" t="s">
        <v>93</v>
      </c>
      <c r="C52" s="1" t="s">
        <v>58</v>
      </c>
      <c r="D52" s="3" t="s">
        <v>102</v>
      </c>
      <c r="E52" s="3" t="s">
        <v>105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25.95" customHeight="1">
      <c r="A53" s="1" t="s">
        <v>92</v>
      </c>
      <c r="B53" s="1" t="s">
        <v>93</v>
      </c>
      <c r="C53" s="1" t="s">
        <v>60</v>
      </c>
      <c r="D53" s="3" t="s">
        <v>36</v>
      </c>
      <c r="E53" s="3" t="s">
        <v>106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">
    <mergeCell ref="A1:E2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0"/>
  <sheetViews>
    <sheetView workbookViewId="0">
      <pane ySplit="4" topLeftCell="A5" activePane="bottomLeft" state="frozen"/>
      <selection pane="bottomLeft" activeCell="A3" sqref="A3:XFD3"/>
    </sheetView>
  </sheetViews>
  <sheetFormatPr defaultRowHeight="13.8"/>
  <cols>
    <col min="1" max="1" width="15" customWidth="1"/>
    <col min="2" max="2" width="18" customWidth="1"/>
    <col min="3" max="3" width="8" customWidth="1"/>
    <col min="4" max="4" width="32" customWidth="1"/>
    <col min="5" max="7" width="13" customWidth="1"/>
    <col min="8" max="10" width="15" customWidth="1"/>
  </cols>
  <sheetData>
    <row r="1" spans="1:17" ht="24" customHeight="1">
      <c r="A1" s="17" t="s">
        <v>316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  <c r="Q2" s="1"/>
    </row>
    <row r="3" spans="1:17" ht="19.0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"/>
      <c r="L3" s="1"/>
      <c r="M3" s="1"/>
      <c r="N3" s="1"/>
      <c r="O3" s="1"/>
      <c r="P3" s="1"/>
      <c r="Q3" s="1"/>
    </row>
    <row r="4" spans="1:17" ht="30" customHeight="1">
      <c r="A4" s="2" t="s">
        <v>107</v>
      </c>
      <c r="B4" s="2" t="s">
        <v>108</v>
      </c>
      <c r="C4" s="2" t="s">
        <v>2</v>
      </c>
      <c r="D4" s="2" t="s">
        <v>3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113</v>
      </c>
      <c r="J4" s="2" t="s">
        <v>114</v>
      </c>
      <c r="K4" s="1"/>
      <c r="L4" s="1"/>
      <c r="M4" s="1"/>
      <c r="N4" s="1"/>
      <c r="O4" s="1"/>
      <c r="P4" s="1"/>
      <c r="Q4" s="1"/>
    </row>
    <row r="5" spans="1:17" ht="19.05" customHeight="1">
      <c r="A5" s="1" t="s">
        <v>115</v>
      </c>
      <c r="B5" s="1" t="s">
        <v>116</v>
      </c>
      <c r="C5" s="1" t="s">
        <v>6</v>
      </c>
      <c r="D5" s="3" t="s">
        <v>117</v>
      </c>
      <c r="E5" s="6">
        <v>9</v>
      </c>
      <c r="F5" s="6">
        <v>8</v>
      </c>
      <c r="G5" s="6">
        <v>9</v>
      </c>
      <c r="H5" s="7">
        <f t="shared" ref="H5:H29" si="0">MIN(E5:G5)</f>
        <v>8</v>
      </c>
      <c r="I5" s="7">
        <f t="shared" ref="I5:I29" si="1">MEDIAN(E5:G5)</f>
        <v>9</v>
      </c>
      <c r="J5" s="7">
        <f t="shared" ref="J5:J29" si="2">MAX(E5:G5)</f>
        <v>9</v>
      </c>
      <c r="K5" s="1"/>
      <c r="L5" s="1"/>
      <c r="M5" s="1"/>
      <c r="N5" s="1"/>
      <c r="O5" s="1"/>
      <c r="P5" s="1"/>
      <c r="Q5" s="1"/>
    </row>
    <row r="6" spans="1:17" ht="19.05" customHeight="1">
      <c r="A6" s="1" t="s">
        <v>115</v>
      </c>
      <c r="B6" s="1" t="s">
        <v>116</v>
      </c>
      <c r="C6" s="1" t="s">
        <v>10</v>
      </c>
      <c r="D6" s="3" t="s">
        <v>11</v>
      </c>
      <c r="E6" s="6">
        <v>8</v>
      </c>
      <c r="F6" s="6">
        <v>9</v>
      </c>
      <c r="G6" s="6">
        <v>8</v>
      </c>
      <c r="H6" s="7">
        <f t="shared" si="0"/>
        <v>8</v>
      </c>
      <c r="I6" s="7">
        <f t="shared" si="1"/>
        <v>8</v>
      </c>
      <c r="J6" s="7">
        <f t="shared" si="2"/>
        <v>9</v>
      </c>
      <c r="K6" s="1"/>
      <c r="L6" s="1"/>
      <c r="M6" s="1"/>
      <c r="N6" s="1"/>
      <c r="O6" s="1"/>
      <c r="P6" s="1"/>
      <c r="Q6" s="1"/>
    </row>
    <row r="7" spans="1:17" ht="19.05" customHeight="1">
      <c r="A7" s="1" t="s">
        <v>115</v>
      </c>
      <c r="B7" s="1" t="s">
        <v>116</v>
      </c>
      <c r="C7" s="1" t="s">
        <v>14</v>
      </c>
      <c r="D7" s="3" t="s">
        <v>118</v>
      </c>
      <c r="E7" s="6">
        <v>8</v>
      </c>
      <c r="F7" s="6">
        <v>7</v>
      </c>
      <c r="G7" s="6">
        <v>8</v>
      </c>
      <c r="H7" s="7">
        <f t="shared" si="0"/>
        <v>7</v>
      </c>
      <c r="I7" s="7">
        <f t="shared" si="1"/>
        <v>8</v>
      </c>
      <c r="J7" s="7">
        <f t="shared" si="2"/>
        <v>8</v>
      </c>
      <c r="K7" s="1"/>
      <c r="L7" s="1"/>
      <c r="M7" s="1"/>
      <c r="N7" s="1"/>
      <c r="O7" s="1"/>
      <c r="P7" s="1"/>
      <c r="Q7" s="1"/>
    </row>
    <row r="8" spans="1:17" ht="19.05" customHeight="1">
      <c r="A8" s="1" t="s">
        <v>115</v>
      </c>
      <c r="B8" s="1" t="s">
        <v>116</v>
      </c>
      <c r="C8" s="1" t="s">
        <v>18</v>
      </c>
      <c r="D8" s="3" t="s">
        <v>19</v>
      </c>
      <c r="E8" s="6">
        <v>6</v>
      </c>
      <c r="F8" s="6">
        <v>7</v>
      </c>
      <c r="G8" s="6">
        <v>7</v>
      </c>
      <c r="H8" s="7">
        <f t="shared" si="0"/>
        <v>6</v>
      </c>
      <c r="I8" s="7">
        <f t="shared" si="1"/>
        <v>7</v>
      </c>
      <c r="J8" s="7">
        <f t="shared" si="2"/>
        <v>7</v>
      </c>
      <c r="K8" s="1"/>
      <c r="L8" s="1"/>
      <c r="M8" s="1"/>
      <c r="N8" s="1"/>
      <c r="O8" s="1"/>
      <c r="P8" s="1"/>
      <c r="Q8" s="1"/>
    </row>
    <row r="9" spans="1:17" ht="19.05" customHeight="1">
      <c r="A9" s="1" t="s">
        <v>115</v>
      </c>
      <c r="B9" s="1" t="s">
        <v>116</v>
      </c>
      <c r="C9" s="1" t="s">
        <v>22</v>
      </c>
      <c r="D9" s="3" t="s">
        <v>119</v>
      </c>
      <c r="E9" s="6">
        <v>6</v>
      </c>
      <c r="F9" s="6">
        <v>5</v>
      </c>
      <c r="G9" s="6">
        <v>6</v>
      </c>
      <c r="H9" s="7">
        <f t="shared" si="0"/>
        <v>5</v>
      </c>
      <c r="I9" s="7">
        <f t="shared" si="1"/>
        <v>6</v>
      </c>
      <c r="J9" s="7">
        <f t="shared" si="2"/>
        <v>6</v>
      </c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120</v>
      </c>
      <c r="B10" s="1" t="s">
        <v>33</v>
      </c>
      <c r="C10" s="1" t="s">
        <v>6</v>
      </c>
      <c r="D10" s="3" t="s">
        <v>117</v>
      </c>
      <c r="E10" s="6">
        <v>7</v>
      </c>
      <c r="F10" s="6">
        <v>8</v>
      </c>
      <c r="G10" s="6">
        <v>7</v>
      </c>
      <c r="H10" s="7">
        <f t="shared" si="0"/>
        <v>7</v>
      </c>
      <c r="I10" s="7">
        <f t="shared" si="1"/>
        <v>7</v>
      </c>
      <c r="J10" s="7">
        <f t="shared" si="2"/>
        <v>8</v>
      </c>
      <c r="K10" s="1"/>
      <c r="L10" s="1"/>
      <c r="M10" s="1"/>
      <c r="N10" s="1"/>
      <c r="O10" s="1"/>
      <c r="P10" s="1"/>
      <c r="Q10" s="1"/>
    </row>
    <row r="11" spans="1:17" ht="19.05" customHeight="1">
      <c r="A11" s="1" t="s">
        <v>120</v>
      </c>
      <c r="B11" s="1" t="s">
        <v>33</v>
      </c>
      <c r="C11" s="1" t="s">
        <v>10</v>
      </c>
      <c r="D11" s="3" t="s">
        <v>11</v>
      </c>
      <c r="E11" s="6">
        <v>9</v>
      </c>
      <c r="F11" s="6">
        <v>8</v>
      </c>
      <c r="G11" s="6">
        <v>9</v>
      </c>
      <c r="H11" s="7">
        <f t="shared" si="0"/>
        <v>8</v>
      </c>
      <c r="I11" s="7">
        <f t="shared" si="1"/>
        <v>9</v>
      </c>
      <c r="J11" s="7">
        <f t="shared" si="2"/>
        <v>9</v>
      </c>
      <c r="K11" s="1"/>
      <c r="L11" s="1"/>
      <c r="M11" s="1"/>
      <c r="N11" s="1"/>
      <c r="O11" s="1"/>
      <c r="P11" s="1"/>
      <c r="Q11" s="1"/>
    </row>
    <row r="12" spans="1:17" ht="19.05" customHeight="1">
      <c r="A12" s="1" t="s">
        <v>120</v>
      </c>
      <c r="B12" s="1" t="s">
        <v>33</v>
      </c>
      <c r="C12" s="1" t="s">
        <v>14</v>
      </c>
      <c r="D12" s="3" t="s">
        <v>118</v>
      </c>
      <c r="E12" s="6">
        <v>9</v>
      </c>
      <c r="F12" s="6">
        <v>9</v>
      </c>
      <c r="G12" s="6">
        <v>8</v>
      </c>
      <c r="H12" s="7">
        <f t="shared" si="0"/>
        <v>8</v>
      </c>
      <c r="I12" s="7">
        <f t="shared" si="1"/>
        <v>9</v>
      </c>
      <c r="J12" s="7">
        <f t="shared" si="2"/>
        <v>9</v>
      </c>
      <c r="K12" s="1"/>
      <c r="L12" s="1"/>
      <c r="M12" s="1"/>
      <c r="N12" s="1"/>
      <c r="O12" s="1"/>
      <c r="P12" s="1"/>
      <c r="Q12" s="1"/>
    </row>
    <row r="13" spans="1:17" ht="19.05" customHeight="1">
      <c r="A13" s="1" t="s">
        <v>120</v>
      </c>
      <c r="B13" s="1" t="s">
        <v>33</v>
      </c>
      <c r="C13" s="1" t="s">
        <v>18</v>
      </c>
      <c r="D13" s="3" t="s">
        <v>19</v>
      </c>
      <c r="E13" s="6">
        <v>9</v>
      </c>
      <c r="F13" s="6">
        <v>9</v>
      </c>
      <c r="G13" s="6">
        <v>8</v>
      </c>
      <c r="H13" s="7">
        <f t="shared" si="0"/>
        <v>8</v>
      </c>
      <c r="I13" s="7">
        <f t="shared" si="1"/>
        <v>9</v>
      </c>
      <c r="J13" s="7">
        <f t="shared" si="2"/>
        <v>9</v>
      </c>
      <c r="K13" s="1"/>
      <c r="L13" s="1"/>
      <c r="M13" s="1"/>
      <c r="N13" s="1"/>
      <c r="O13" s="1"/>
      <c r="P13" s="1"/>
      <c r="Q13" s="1"/>
    </row>
    <row r="14" spans="1:17" ht="19.05" customHeight="1">
      <c r="A14" s="1" t="s">
        <v>120</v>
      </c>
      <c r="B14" s="1" t="s">
        <v>33</v>
      </c>
      <c r="C14" s="1" t="s">
        <v>22</v>
      </c>
      <c r="D14" s="3" t="s">
        <v>119</v>
      </c>
      <c r="E14" s="6">
        <v>5</v>
      </c>
      <c r="F14" s="6">
        <v>4</v>
      </c>
      <c r="G14" s="6">
        <v>5</v>
      </c>
      <c r="H14" s="7">
        <f t="shared" si="0"/>
        <v>4</v>
      </c>
      <c r="I14" s="7">
        <f t="shared" si="1"/>
        <v>5</v>
      </c>
      <c r="J14" s="7">
        <f t="shared" si="2"/>
        <v>5</v>
      </c>
      <c r="K14" s="1"/>
      <c r="L14" s="1"/>
      <c r="M14" s="1"/>
      <c r="N14" s="1"/>
      <c r="O14" s="1"/>
      <c r="P14" s="1"/>
      <c r="Q14" s="1"/>
    </row>
    <row r="15" spans="1:17" ht="19.05" customHeight="1">
      <c r="A15" s="1" t="s">
        <v>120</v>
      </c>
      <c r="B15" s="1" t="s">
        <v>62</v>
      </c>
      <c r="C15" s="1" t="s">
        <v>6</v>
      </c>
      <c r="D15" s="3" t="s">
        <v>117</v>
      </c>
      <c r="E15" s="6">
        <v>9</v>
      </c>
      <c r="F15" s="6">
        <v>9</v>
      </c>
      <c r="G15" s="6">
        <v>8</v>
      </c>
      <c r="H15" s="7">
        <f t="shared" si="0"/>
        <v>8</v>
      </c>
      <c r="I15" s="7">
        <f t="shared" si="1"/>
        <v>9</v>
      </c>
      <c r="J15" s="7">
        <f t="shared" si="2"/>
        <v>9</v>
      </c>
      <c r="K15" s="1"/>
      <c r="L15" s="1"/>
      <c r="M15" s="1"/>
      <c r="N15" s="1"/>
      <c r="O15" s="1"/>
      <c r="P15" s="1"/>
      <c r="Q15" s="1"/>
    </row>
    <row r="16" spans="1:17" ht="19.05" customHeight="1">
      <c r="A16" s="1" t="s">
        <v>120</v>
      </c>
      <c r="B16" s="1" t="s">
        <v>62</v>
      </c>
      <c r="C16" s="1" t="s">
        <v>10</v>
      </c>
      <c r="D16" s="3" t="s">
        <v>11</v>
      </c>
      <c r="E16" s="6">
        <v>8</v>
      </c>
      <c r="F16" s="6">
        <v>7</v>
      </c>
      <c r="G16" s="6">
        <v>8</v>
      </c>
      <c r="H16" s="7">
        <f t="shared" si="0"/>
        <v>7</v>
      </c>
      <c r="I16" s="7">
        <f t="shared" si="1"/>
        <v>8</v>
      </c>
      <c r="J16" s="7">
        <f t="shared" si="2"/>
        <v>8</v>
      </c>
      <c r="K16" s="1"/>
      <c r="L16" s="1"/>
      <c r="M16" s="1"/>
      <c r="N16" s="1"/>
      <c r="O16" s="1"/>
      <c r="P16" s="1"/>
      <c r="Q16" s="1"/>
    </row>
    <row r="17" spans="1:17" ht="19.05" customHeight="1">
      <c r="A17" s="1" t="s">
        <v>120</v>
      </c>
      <c r="B17" s="1" t="s">
        <v>62</v>
      </c>
      <c r="C17" s="1" t="s">
        <v>14</v>
      </c>
      <c r="D17" s="3" t="s">
        <v>118</v>
      </c>
      <c r="E17" s="6">
        <v>8</v>
      </c>
      <c r="F17" s="6">
        <v>9</v>
      </c>
      <c r="G17" s="6">
        <v>9</v>
      </c>
      <c r="H17" s="7">
        <f t="shared" si="0"/>
        <v>8</v>
      </c>
      <c r="I17" s="7">
        <f t="shared" si="1"/>
        <v>9</v>
      </c>
      <c r="J17" s="7">
        <f t="shared" si="2"/>
        <v>9</v>
      </c>
      <c r="K17" s="1"/>
      <c r="L17" s="1"/>
      <c r="M17" s="1"/>
      <c r="N17" s="1"/>
      <c r="O17" s="1"/>
      <c r="P17" s="1"/>
      <c r="Q17" s="1"/>
    </row>
    <row r="18" spans="1:17" ht="19.05" customHeight="1">
      <c r="A18" s="1" t="s">
        <v>120</v>
      </c>
      <c r="B18" s="1" t="s">
        <v>62</v>
      </c>
      <c r="C18" s="1" t="s">
        <v>18</v>
      </c>
      <c r="D18" s="3" t="s">
        <v>19</v>
      </c>
      <c r="E18" s="6">
        <v>9</v>
      </c>
      <c r="F18" s="6">
        <v>8</v>
      </c>
      <c r="G18" s="6">
        <v>9</v>
      </c>
      <c r="H18" s="7">
        <f t="shared" si="0"/>
        <v>8</v>
      </c>
      <c r="I18" s="7">
        <f t="shared" si="1"/>
        <v>9</v>
      </c>
      <c r="J18" s="7">
        <f t="shared" si="2"/>
        <v>9</v>
      </c>
      <c r="K18" s="1"/>
      <c r="L18" s="1"/>
      <c r="M18" s="1"/>
      <c r="N18" s="1"/>
      <c r="O18" s="1"/>
      <c r="P18" s="1"/>
      <c r="Q18" s="1"/>
    </row>
    <row r="19" spans="1:17" ht="19.05" customHeight="1">
      <c r="A19" s="1" t="s">
        <v>120</v>
      </c>
      <c r="B19" s="1" t="s">
        <v>62</v>
      </c>
      <c r="C19" s="1" t="s">
        <v>22</v>
      </c>
      <c r="D19" s="3" t="s">
        <v>119</v>
      </c>
      <c r="E19" s="6">
        <v>8</v>
      </c>
      <c r="F19" s="6">
        <v>9</v>
      </c>
      <c r="G19" s="6">
        <v>8</v>
      </c>
      <c r="H19" s="7">
        <f t="shared" si="0"/>
        <v>8</v>
      </c>
      <c r="I19" s="7">
        <f t="shared" si="1"/>
        <v>8</v>
      </c>
      <c r="J19" s="7">
        <f t="shared" si="2"/>
        <v>9</v>
      </c>
      <c r="K19" s="1"/>
      <c r="L19" s="1"/>
      <c r="M19" s="1"/>
      <c r="N19" s="1"/>
      <c r="O19" s="1"/>
      <c r="P19" s="1"/>
      <c r="Q19" s="1"/>
    </row>
    <row r="20" spans="1:17" ht="19.05" customHeight="1">
      <c r="A20" s="1" t="s">
        <v>120</v>
      </c>
      <c r="B20" s="1" t="s">
        <v>78</v>
      </c>
      <c r="C20" s="1" t="s">
        <v>6</v>
      </c>
      <c r="D20" s="3" t="s">
        <v>117</v>
      </c>
      <c r="E20" s="6">
        <v>7</v>
      </c>
      <c r="F20" s="6">
        <v>6</v>
      </c>
      <c r="G20" s="6">
        <v>7</v>
      </c>
      <c r="H20" s="7">
        <f t="shared" si="0"/>
        <v>6</v>
      </c>
      <c r="I20" s="7">
        <f t="shared" si="1"/>
        <v>7</v>
      </c>
      <c r="J20" s="7">
        <f t="shared" si="2"/>
        <v>7</v>
      </c>
      <c r="K20" s="1"/>
      <c r="L20" s="1"/>
      <c r="M20" s="1"/>
      <c r="N20" s="1"/>
      <c r="O20" s="1"/>
      <c r="P20" s="1"/>
      <c r="Q20" s="1"/>
    </row>
    <row r="21" spans="1:17" ht="19.05" customHeight="1">
      <c r="A21" s="1" t="s">
        <v>120</v>
      </c>
      <c r="B21" s="1" t="s">
        <v>78</v>
      </c>
      <c r="C21" s="1" t="s">
        <v>10</v>
      </c>
      <c r="D21" s="3" t="s">
        <v>11</v>
      </c>
      <c r="E21" s="6">
        <v>9</v>
      </c>
      <c r="F21" s="6">
        <v>8</v>
      </c>
      <c r="G21" s="6">
        <v>8</v>
      </c>
      <c r="H21" s="7">
        <f t="shared" si="0"/>
        <v>8</v>
      </c>
      <c r="I21" s="7">
        <f t="shared" si="1"/>
        <v>8</v>
      </c>
      <c r="J21" s="7">
        <f t="shared" si="2"/>
        <v>9</v>
      </c>
      <c r="K21" s="1"/>
      <c r="L21" s="1"/>
      <c r="M21" s="1"/>
      <c r="N21" s="1"/>
      <c r="O21" s="1"/>
      <c r="P21" s="1"/>
      <c r="Q21" s="1"/>
    </row>
    <row r="22" spans="1:17" ht="19.05" customHeight="1">
      <c r="A22" s="1" t="s">
        <v>120</v>
      </c>
      <c r="B22" s="1" t="s">
        <v>78</v>
      </c>
      <c r="C22" s="1" t="s">
        <v>14</v>
      </c>
      <c r="D22" s="3" t="s">
        <v>118</v>
      </c>
      <c r="E22" s="6">
        <v>8</v>
      </c>
      <c r="F22" s="6">
        <v>8</v>
      </c>
      <c r="G22" s="6">
        <v>7</v>
      </c>
      <c r="H22" s="7">
        <f t="shared" si="0"/>
        <v>7</v>
      </c>
      <c r="I22" s="7">
        <f t="shared" si="1"/>
        <v>8</v>
      </c>
      <c r="J22" s="7">
        <f t="shared" si="2"/>
        <v>8</v>
      </c>
      <c r="K22" s="1"/>
      <c r="L22" s="1"/>
      <c r="M22" s="1"/>
      <c r="N22" s="1"/>
      <c r="O22" s="1"/>
      <c r="P22" s="1"/>
      <c r="Q22" s="1"/>
    </row>
    <row r="23" spans="1:17" ht="19.05" customHeight="1">
      <c r="A23" s="1" t="s">
        <v>120</v>
      </c>
      <c r="B23" s="1" t="s">
        <v>78</v>
      </c>
      <c r="C23" s="1" t="s">
        <v>18</v>
      </c>
      <c r="D23" s="3" t="s">
        <v>19</v>
      </c>
      <c r="E23" s="6">
        <v>8</v>
      </c>
      <c r="F23" s="6">
        <v>7</v>
      </c>
      <c r="G23" s="6">
        <v>8</v>
      </c>
      <c r="H23" s="7">
        <f t="shared" si="0"/>
        <v>7</v>
      </c>
      <c r="I23" s="7">
        <f t="shared" si="1"/>
        <v>8</v>
      </c>
      <c r="J23" s="7">
        <f t="shared" si="2"/>
        <v>8</v>
      </c>
      <c r="K23" s="1"/>
      <c r="L23" s="1"/>
      <c r="M23" s="1"/>
      <c r="N23" s="1"/>
      <c r="O23" s="1"/>
      <c r="P23" s="1"/>
      <c r="Q23" s="1"/>
    </row>
    <row r="24" spans="1:17" ht="19.05" customHeight="1">
      <c r="A24" s="1" t="s">
        <v>120</v>
      </c>
      <c r="B24" s="1" t="s">
        <v>78</v>
      </c>
      <c r="C24" s="1" t="s">
        <v>22</v>
      </c>
      <c r="D24" s="3" t="s">
        <v>119</v>
      </c>
      <c r="E24" s="6">
        <v>7</v>
      </c>
      <c r="F24" s="6">
        <v>8</v>
      </c>
      <c r="G24" s="6">
        <v>7</v>
      </c>
      <c r="H24" s="7">
        <f t="shared" si="0"/>
        <v>7</v>
      </c>
      <c r="I24" s="7">
        <f t="shared" si="1"/>
        <v>7</v>
      </c>
      <c r="J24" s="7">
        <f t="shared" si="2"/>
        <v>8</v>
      </c>
      <c r="K24" s="1"/>
      <c r="L24" s="1"/>
      <c r="M24" s="1"/>
      <c r="N24" s="1"/>
      <c r="O24" s="1"/>
      <c r="P24" s="1"/>
      <c r="Q24" s="1"/>
    </row>
    <row r="25" spans="1:17" ht="19.05" customHeight="1">
      <c r="A25" s="1" t="s">
        <v>120</v>
      </c>
      <c r="B25" s="1" t="s">
        <v>92</v>
      </c>
      <c r="C25" s="1" t="s">
        <v>6</v>
      </c>
      <c r="D25" s="3" t="s">
        <v>117</v>
      </c>
      <c r="E25" s="6">
        <v>8</v>
      </c>
      <c r="F25" s="6">
        <v>7</v>
      </c>
      <c r="G25" s="6">
        <v>8</v>
      </c>
      <c r="H25" s="7">
        <f t="shared" si="0"/>
        <v>7</v>
      </c>
      <c r="I25" s="7">
        <f t="shared" si="1"/>
        <v>8</v>
      </c>
      <c r="J25" s="7">
        <f t="shared" si="2"/>
        <v>8</v>
      </c>
      <c r="K25" s="1"/>
      <c r="L25" s="1"/>
      <c r="M25" s="1"/>
      <c r="N25" s="1"/>
      <c r="O25" s="1"/>
      <c r="P25" s="1"/>
      <c r="Q25" s="1"/>
    </row>
    <row r="26" spans="1:17" ht="19.05" customHeight="1">
      <c r="A26" s="1" t="s">
        <v>120</v>
      </c>
      <c r="B26" s="1" t="s">
        <v>92</v>
      </c>
      <c r="C26" s="1" t="s">
        <v>10</v>
      </c>
      <c r="D26" s="3" t="s">
        <v>11</v>
      </c>
      <c r="E26" s="6">
        <v>5</v>
      </c>
      <c r="F26" s="6">
        <v>6</v>
      </c>
      <c r="G26" s="6">
        <v>6</v>
      </c>
      <c r="H26" s="7">
        <f t="shared" si="0"/>
        <v>5</v>
      </c>
      <c r="I26" s="7">
        <f t="shared" si="1"/>
        <v>6</v>
      </c>
      <c r="J26" s="7">
        <f t="shared" si="2"/>
        <v>6</v>
      </c>
      <c r="K26" s="1"/>
      <c r="L26" s="1"/>
      <c r="M26" s="1"/>
      <c r="N26" s="1"/>
      <c r="O26" s="1"/>
      <c r="P26" s="1"/>
      <c r="Q26" s="1"/>
    </row>
    <row r="27" spans="1:17" ht="19.05" customHeight="1">
      <c r="A27" s="1" t="s">
        <v>120</v>
      </c>
      <c r="B27" s="1" t="s">
        <v>92</v>
      </c>
      <c r="C27" s="1" t="s">
        <v>14</v>
      </c>
      <c r="D27" s="3" t="s">
        <v>118</v>
      </c>
      <c r="E27" s="6">
        <v>6</v>
      </c>
      <c r="F27" s="6">
        <v>7</v>
      </c>
      <c r="G27" s="6">
        <v>7</v>
      </c>
      <c r="H27" s="7">
        <f t="shared" si="0"/>
        <v>6</v>
      </c>
      <c r="I27" s="7">
        <f t="shared" si="1"/>
        <v>7</v>
      </c>
      <c r="J27" s="7">
        <f t="shared" si="2"/>
        <v>7</v>
      </c>
      <c r="K27" s="1"/>
      <c r="L27" s="1"/>
      <c r="M27" s="1"/>
      <c r="N27" s="1"/>
      <c r="O27" s="1"/>
      <c r="P27" s="1"/>
      <c r="Q27" s="1"/>
    </row>
    <row r="28" spans="1:17" ht="19.05" customHeight="1">
      <c r="A28" s="1" t="s">
        <v>120</v>
      </c>
      <c r="B28" s="1" t="s">
        <v>92</v>
      </c>
      <c r="C28" s="1" t="s">
        <v>18</v>
      </c>
      <c r="D28" s="3" t="s">
        <v>19</v>
      </c>
      <c r="E28" s="6">
        <v>6</v>
      </c>
      <c r="F28" s="6">
        <v>7</v>
      </c>
      <c r="G28" s="6">
        <v>7</v>
      </c>
      <c r="H28" s="7">
        <f t="shared" si="0"/>
        <v>6</v>
      </c>
      <c r="I28" s="7">
        <f t="shared" si="1"/>
        <v>7</v>
      </c>
      <c r="J28" s="7">
        <f t="shared" si="2"/>
        <v>7</v>
      </c>
      <c r="K28" s="1"/>
      <c r="L28" s="1"/>
      <c r="M28" s="1"/>
      <c r="N28" s="1"/>
      <c r="O28" s="1"/>
      <c r="P28" s="1"/>
      <c r="Q28" s="1"/>
    </row>
    <row r="29" spans="1:17" ht="19.05" customHeight="1">
      <c r="A29" s="1" t="s">
        <v>120</v>
      </c>
      <c r="B29" s="1" t="s">
        <v>92</v>
      </c>
      <c r="C29" s="1" t="s">
        <v>22</v>
      </c>
      <c r="D29" s="3" t="s">
        <v>119</v>
      </c>
      <c r="E29" s="6">
        <v>9</v>
      </c>
      <c r="F29" s="6">
        <v>8</v>
      </c>
      <c r="G29" s="6">
        <v>9</v>
      </c>
      <c r="H29" s="7">
        <f t="shared" si="0"/>
        <v>8</v>
      </c>
      <c r="I29" s="7">
        <f t="shared" si="1"/>
        <v>9</v>
      </c>
      <c r="J29" s="7">
        <f t="shared" si="2"/>
        <v>9</v>
      </c>
      <c r="K29" s="1"/>
      <c r="L29" s="1"/>
      <c r="M29" s="1"/>
      <c r="N29" s="1"/>
      <c r="O29" s="1"/>
      <c r="P29" s="1"/>
      <c r="Q29" s="1"/>
    </row>
    <row r="30" spans="1:17" ht="19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9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9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">
    <mergeCell ref="A1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0"/>
  <sheetViews>
    <sheetView zoomScale="115" zoomScaleNormal="115" workbookViewId="0">
      <pane ySplit="5" topLeftCell="A36" activePane="bottomLeft" state="frozen"/>
      <selection pane="bottomLeft" activeCell="H6" sqref="H6"/>
    </sheetView>
  </sheetViews>
  <sheetFormatPr defaultRowHeight="13.8"/>
  <cols>
    <col min="1" max="1" width="14" customWidth="1"/>
    <col min="2" max="2" width="20" customWidth="1"/>
    <col min="3" max="5" width="11" customWidth="1"/>
    <col min="6" max="17" width="12" customWidth="1"/>
  </cols>
  <sheetData>
    <row r="1" spans="1:17" ht="24" customHeight="1">
      <c r="A1" s="17" t="s">
        <v>121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9.05" customHeight="1">
      <c r="A3" s="18" t="s">
        <v>122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25.95" customHeight="1">
      <c r="A4" s="19" t="s">
        <v>123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ht="30" customHeight="1">
      <c r="A5" s="2" t="s">
        <v>2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130</v>
      </c>
      <c r="I5" s="2" t="s">
        <v>131</v>
      </c>
      <c r="J5" s="1"/>
      <c r="K5" s="1"/>
      <c r="L5" s="1"/>
      <c r="M5" s="1"/>
      <c r="N5" s="1"/>
      <c r="O5" s="1"/>
      <c r="P5" s="1"/>
      <c r="Q5" s="1"/>
    </row>
    <row r="6" spans="1:17" ht="19.05" customHeight="1">
      <c r="A6" s="1" t="s">
        <v>6</v>
      </c>
      <c r="B6" s="1" t="s">
        <v>117</v>
      </c>
      <c r="C6" s="1">
        <f>Оценки!H5</f>
        <v>8</v>
      </c>
      <c r="D6" s="1">
        <f>Оценки!I5</f>
        <v>9</v>
      </c>
      <c r="E6" s="1">
        <f>Оценки!J5</f>
        <v>9</v>
      </c>
      <c r="F6" s="8">
        <f t="shared" ref="F6:H10" si="0">C6/SUM($D$6:$D$10)</f>
        <v>0.21052631578947367</v>
      </c>
      <c r="G6" s="8">
        <f t="shared" si="0"/>
        <v>0.23684210526315788</v>
      </c>
      <c r="H6" s="8">
        <f t="shared" si="0"/>
        <v>0.23684210526315788</v>
      </c>
      <c r="I6" s="1">
        <f>MAX(E14,E19,E24,E29)</f>
        <v>9</v>
      </c>
      <c r="J6" s="1"/>
      <c r="K6" s="1"/>
      <c r="L6" s="1"/>
      <c r="M6" s="1"/>
      <c r="N6" s="1"/>
      <c r="O6" s="1"/>
      <c r="P6" s="1"/>
      <c r="Q6" s="1"/>
    </row>
    <row r="7" spans="1:17" ht="19.05" customHeight="1">
      <c r="A7" s="1" t="s">
        <v>10</v>
      </c>
      <c r="B7" s="1" t="s">
        <v>11</v>
      </c>
      <c r="C7" s="1">
        <f>Оценки!H6</f>
        <v>8</v>
      </c>
      <c r="D7" s="1">
        <f>Оценки!I6</f>
        <v>8</v>
      </c>
      <c r="E7" s="1">
        <f>Оценки!J6</f>
        <v>9</v>
      </c>
      <c r="F7" s="8">
        <f t="shared" si="0"/>
        <v>0.21052631578947367</v>
      </c>
      <c r="G7" s="8">
        <f t="shared" si="0"/>
        <v>0.21052631578947367</v>
      </c>
      <c r="H7" s="8">
        <f t="shared" si="0"/>
        <v>0.23684210526315788</v>
      </c>
      <c r="I7" s="1">
        <f>MAX(E15,E20,E25,E30)</f>
        <v>9</v>
      </c>
      <c r="J7" s="1"/>
      <c r="K7" s="1"/>
      <c r="L7" s="1"/>
      <c r="M7" s="1"/>
      <c r="N7" s="1"/>
      <c r="O7" s="1"/>
      <c r="P7" s="1"/>
      <c r="Q7" s="1"/>
    </row>
    <row r="8" spans="1:17" ht="19.05" customHeight="1">
      <c r="A8" s="1" t="s">
        <v>14</v>
      </c>
      <c r="B8" s="1" t="s">
        <v>118</v>
      </c>
      <c r="C8" s="1">
        <f>Оценки!H7</f>
        <v>7</v>
      </c>
      <c r="D8" s="1">
        <f>Оценки!I7</f>
        <v>8</v>
      </c>
      <c r="E8" s="1">
        <f>Оценки!J7</f>
        <v>8</v>
      </c>
      <c r="F8" s="8">
        <f t="shared" si="0"/>
        <v>0.18421052631578946</v>
      </c>
      <c r="G8" s="8">
        <f t="shared" si="0"/>
        <v>0.21052631578947367</v>
      </c>
      <c r="H8" s="8">
        <f t="shared" si="0"/>
        <v>0.21052631578947367</v>
      </c>
      <c r="I8" s="1">
        <f>MAX(E16,E21,E26,E31)</f>
        <v>9</v>
      </c>
      <c r="J8" s="1"/>
      <c r="K8" s="1"/>
      <c r="L8" s="1"/>
      <c r="M8" s="1"/>
      <c r="N8" s="1"/>
      <c r="O8" s="1"/>
      <c r="P8" s="1"/>
      <c r="Q8" s="1"/>
    </row>
    <row r="9" spans="1:17" ht="19.05" customHeight="1">
      <c r="A9" s="1" t="s">
        <v>18</v>
      </c>
      <c r="B9" s="1" t="s">
        <v>19</v>
      </c>
      <c r="C9" s="1">
        <f>Оценки!H8</f>
        <v>6</v>
      </c>
      <c r="D9" s="1">
        <f>Оценки!I8</f>
        <v>7</v>
      </c>
      <c r="E9" s="1">
        <f>Оценки!J8</f>
        <v>7</v>
      </c>
      <c r="F9" s="8">
        <f t="shared" si="0"/>
        <v>0.15789473684210525</v>
      </c>
      <c r="G9" s="8">
        <f t="shared" si="0"/>
        <v>0.18421052631578946</v>
      </c>
      <c r="H9" s="8">
        <f t="shared" si="0"/>
        <v>0.18421052631578946</v>
      </c>
      <c r="I9" s="1">
        <f>MAX(E17,E22,E27,E32)</f>
        <v>9</v>
      </c>
      <c r="J9" s="1"/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22</v>
      </c>
      <c r="B10" s="1" t="s">
        <v>119</v>
      </c>
      <c r="C10" s="1">
        <f>Оценки!H9</f>
        <v>5</v>
      </c>
      <c r="D10" s="1">
        <f>Оценки!I9</f>
        <v>6</v>
      </c>
      <c r="E10" s="1">
        <f>Оценки!J9</f>
        <v>6</v>
      </c>
      <c r="F10" s="8">
        <f t="shared" si="0"/>
        <v>0.13157894736842105</v>
      </c>
      <c r="G10" s="8">
        <f t="shared" si="0"/>
        <v>0.15789473684210525</v>
      </c>
      <c r="H10" s="8">
        <f t="shared" si="0"/>
        <v>0.15789473684210525</v>
      </c>
      <c r="I10" s="1">
        <f>MAX(E18,E23,E28,E33)</f>
        <v>9</v>
      </c>
      <c r="J10" s="1"/>
      <c r="K10" s="1"/>
      <c r="L10" s="1"/>
      <c r="M10" s="1"/>
      <c r="N10" s="1"/>
      <c r="O10" s="1"/>
      <c r="P10" s="1"/>
      <c r="Q10" s="1"/>
    </row>
    <row r="11" spans="1:17" ht="19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5.95" customHeight="1">
      <c r="A12" s="19" t="s">
        <v>132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>
      <c r="A13" s="2" t="s">
        <v>133</v>
      </c>
      <c r="B13" s="2" t="s">
        <v>134</v>
      </c>
      <c r="C13" s="2" t="s">
        <v>135</v>
      </c>
      <c r="D13" s="2" t="s">
        <v>136</v>
      </c>
      <c r="E13" s="2" t="s">
        <v>137</v>
      </c>
      <c r="F13" s="2" t="s">
        <v>138</v>
      </c>
      <c r="G13" s="2" t="s">
        <v>139</v>
      </c>
      <c r="H13" s="2" t="s">
        <v>140</v>
      </c>
      <c r="I13" s="2" t="s">
        <v>141</v>
      </c>
      <c r="J13" s="2" t="s">
        <v>128</v>
      </c>
      <c r="K13" s="2" t="s">
        <v>129</v>
      </c>
      <c r="L13" s="2" t="s">
        <v>130</v>
      </c>
      <c r="M13" s="2" t="s">
        <v>142</v>
      </c>
      <c r="N13" s="2" t="s">
        <v>143</v>
      </c>
      <c r="O13" s="2" t="s">
        <v>144</v>
      </c>
      <c r="P13" s="2" t="s">
        <v>145</v>
      </c>
      <c r="Q13" s="2" t="s">
        <v>146</v>
      </c>
    </row>
    <row r="14" spans="1:17" ht="19.05" customHeight="1">
      <c r="A14" s="4" t="s">
        <v>33</v>
      </c>
      <c r="B14" s="4" t="s">
        <v>6</v>
      </c>
      <c r="C14" s="4">
        <f>Оценки!H10</f>
        <v>7</v>
      </c>
      <c r="D14" s="4">
        <f>Оценки!I10</f>
        <v>7</v>
      </c>
      <c r="E14" s="4">
        <f>Оценки!J10</f>
        <v>8</v>
      </c>
      <c r="F14" s="4">
        <f>$I$6</f>
        <v>9</v>
      </c>
      <c r="G14" s="9">
        <f t="shared" ref="G14:G33" si="1">C14/F14</f>
        <v>0.77777777777777779</v>
      </c>
      <c r="H14" s="9">
        <f t="shared" ref="H14:H33" si="2">D14/F14</f>
        <v>0.77777777777777779</v>
      </c>
      <c r="I14" s="9">
        <f t="shared" ref="I14:I33" si="3">E14/F14</f>
        <v>0.88888888888888884</v>
      </c>
      <c r="J14" s="9">
        <f>$F$6</f>
        <v>0.21052631578947367</v>
      </c>
      <c r="K14" s="9">
        <f>$G$6</f>
        <v>0.23684210526315788</v>
      </c>
      <c r="L14" s="9">
        <f>$H$6</f>
        <v>0.23684210526315788</v>
      </c>
      <c r="M14" s="9">
        <f t="shared" ref="M14:M33" si="4">G14*J14</f>
        <v>0.16374269005847952</v>
      </c>
      <c r="N14" s="9">
        <f t="shared" ref="N14:N33" si="5">H14*K14</f>
        <v>0.18421052631578946</v>
      </c>
      <c r="O14" s="9">
        <f t="shared" ref="O14:O33" si="6">I14*L14</f>
        <v>0.21052631578947367</v>
      </c>
      <c r="P14" s="9">
        <f>SQRT(((M14-$B$37)^2+(N14-$B$37)^2+(O14-$B$37)^2)/3)</f>
        <v>5.4179111538741893E-2</v>
      </c>
      <c r="Q14" s="9">
        <f>SQRT(((M14-$C$37)^2+(N14-$C$37)^2+(O14-$C$37)^2)/3)</f>
        <v>4.9650236362378281E-2</v>
      </c>
    </row>
    <row r="15" spans="1:17" ht="19.05" customHeight="1">
      <c r="A15" s="1" t="s">
        <v>33</v>
      </c>
      <c r="B15" s="1" t="s">
        <v>10</v>
      </c>
      <c r="C15" s="1">
        <f>Оценки!H11</f>
        <v>8</v>
      </c>
      <c r="D15" s="1">
        <f>Оценки!I11</f>
        <v>9</v>
      </c>
      <c r="E15" s="1">
        <f>Оценки!J11</f>
        <v>9</v>
      </c>
      <c r="F15" s="1">
        <f>$I$7</f>
        <v>9</v>
      </c>
      <c r="G15" s="8">
        <f t="shared" si="1"/>
        <v>0.88888888888888884</v>
      </c>
      <c r="H15" s="8">
        <f t="shared" si="2"/>
        <v>1</v>
      </c>
      <c r="I15" s="8">
        <f t="shared" si="3"/>
        <v>1</v>
      </c>
      <c r="J15" s="8">
        <f>$F$7</f>
        <v>0.21052631578947367</v>
      </c>
      <c r="K15" s="8">
        <f>$G$7</f>
        <v>0.21052631578947367</v>
      </c>
      <c r="L15" s="8">
        <f>$H$7</f>
        <v>0.23684210526315788</v>
      </c>
      <c r="M15" s="8">
        <f t="shared" si="4"/>
        <v>0.1871345029239766</v>
      </c>
      <c r="N15" s="8">
        <f t="shared" si="5"/>
        <v>0.21052631578947367</v>
      </c>
      <c r="O15" s="8">
        <f t="shared" si="6"/>
        <v>0.23684210526315788</v>
      </c>
      <c r="P15" s="8">
        <f>SQRT(((M15-$B$38)^2+(N15-$B$38)^2+(O15-$B$38)^2)/3)</f>
        <v>3.2472380602256691E-2</v>
      </c>
      <c r="Q15" s="8">
        <f>SQRT(((M15-$C$38)^2+(N15-$C$38)^2+(O15-$C$38)^2)/3)</f>
        <v>9.6697752873485449E-2</v>
      </c>
    </row>
    <row r="16" spans="1:17" ht="19.05" customHeight="1">
      <c r="A16" s="1" t="s">
        <v>33</v>
      </c>
      <c r="B16" s="1" t="s">
        <v>14</v>
      </c>
      <c r="C16" s="1">
        <f>Оценки!H12</f>
        <v>8</v>
      </c>
      <c r="D16" s="1">
        <f>Оценки!I12</f>
        <v>9</v>
      </c>
      <c r="E16" s="1">
        <f>Оценки!J12</f>
        <v>9</v>
      </c>
      <c r="F16" s="1">
        <f>$I$8</f>
        <v>9</v>
      </c>
      <c r="G16" s="8">
        <f t="shared" si="1"/>
        <v>0.88888888888888884</v>
      </c>
      <c r="H16" s="8">
        <f t="shared" si="2"/>
        <v>1</v>
      </c>
      <c r="I16" s="8">
        <f t="shared" si="3"/>
        <v>1</v>
      </c>
      <c r="J16" s="8">
        <f>$F$8</f>
        <v>0.18421052631578946</v>
      </c>
      <c r="K16" s="8">
        <f>$G$8</f>
        <v>0.21052631578947367</v>
      </c>
      <c r="L16" s="8">
        <f>$H$8</f>
        <v>0.21052631578947367</v>
      </c>
      <c r="M16" s="8">
        <f t="shared" si="4"/>
        <v>0.16374269005847952</v>
      </c>
      <c r="N16" s="8">
        <f t="shared" si="5"/>
        <v>0.21052631578947367</v>
      </c>
      <c r="O16" s="8">
        <f t="shared" si="6"/>
        <v>0.21052631578947367</v>
      </c>
      <c r="P16" s="8">
        <f>SQRT(((M16-$B$39)^2+(N16-$B$39)^2+(O16-$B$39)^2)/3)</f>
        <v>2.7010538909456174E-2</v>
      </c>
      <c r="Q16" s="8">
        <f>SQRT(((M16-$C$39)^2+(N16-$C$39)^2+(O16-$C$39)^2)/3)</f>
        <v>7.5421216850499434E-2</v>
      </c>
    </row>
    <row r="17" spans="1:17" ht="19.05" customHeight="1">
      <c r="A17" s="1" t="s">
        <v>33</v>
      </c>
      <c r="B17" s="1" t="s">
        <v>18</v>
      </c>
      <c r="C17" s="1">
        <f>Оценки!H13</f>
        <v>8</v>
      </c>
      <c r="D17" s="1">
        <f>Оценки!I13</f>
        <v>9</v>
      </c>
      <c r="E17" s="1">
        <f>Оценки!J13</f>
        <v>9</v>
      </c>
      <c r="F17" s="1">
        <f>$I$9</f>
        <v>9</v>
      </c>
      <c r="G17" s="8">
        <f t="shared" si="1"/>
        <v>0.88888888888888884</v>
      </c>
      <c r="H17" s="8">
        <f t="shared" si="2"/>
        <v>1</v>
      </c>
      <c r="I17" s="8">
        <f t="shared" si="3"/>
        <v>1</v>
      </c>
      <c r="J17" s="8">
        <f>$F$9</f>
        <v>0.15789473684210525</v>
      </c>
      <c r="K17" s="8">
        <f>$G$9</f>
        <v>0.18421052631578946</v>
      </c>
      <c r="L17" s="8">
        <f>$H$9</f>
        <v>0.18421052631578946</v>
      </c>
      <c r="M17" s="8">
        <f t="shared" si="4"/>
        <v>0.14035087719298245</v>
      </c>
      <c r="N17" s="8">
        <f t="shared" si="5"/>
        <v>0.18421052631578946</v>
      </c>
      <c r="O17" s="8">
        <f t="shared" si="6"/>
        <v>0.18421052631578946</v>
      </c>
      <c r="P17" s="8">
        <f>SQRT(((M17-$B$40)^2+(N17-$B$40)^2+(O17-$B$40)^2)/3)</f>
        <v>2.5322380227615165E-2</v>
      </c>
      <c r="Q17" s="8">
        <f>SQRT(((M17-$C$40)^2+(N17-$C$40)^2+(O17-$C$40)^2)/3)</f>
        <v>6.7568538060183286E-2</v>
      </c>
    </row>
    <row r="18" spans="1:17" ht="19.05" customHeight="1">
      <c r="A18" s="1" t="s">
        <v>33</v>
      </c>
      <c r="B18" s="1" t="s">
        <v>22</v>
      </c>
      <c r="C18" s="1">
        <f>Оценки!H14</f>
        <v>4</v>
      </c>
      <c r="D18" s="1">
        <f>Оценки!I14</f>
        <v>5</v>
      </c>
      <c r="E18" s="1">
        <f>Оценки!J14</f>
        <v>5</v>
      </c>
      <c r="F18" s="1">
        <f>$I$10</f>
        <v>9</v>
      </c>
      <c r="G18" s="8">
        <f t="shared" si="1"/>
        <v>0.44444444444444442</v>
      </c>
      <c r="H18" s="8">
        <f t="shared" si="2"/>
        <v>0.55555555555555558</v>
      </c>
      <c r="I18" s="8">
        <f t="shared" si="3"/>
        <v>0.55555555555555558</v>
      </c>
      <c r="J18" s="8">
        <f>$F$10</f>
        <v>0.13157894736842105</v>
      </c>
      <c r="K18" s="8">
        <f>$G$10</f>
        <v>0.15789473684210525</v>
      </c>
      <c r="L18" s="8">
        <f>$H$10</f>
        <v>0.15789473684210525</v>
      </c>
      <c r="M18" s="8">
        <f t="shared" si="4"/>
        <v>5.8479532163742687E-2</v>
      </c>
      <c r="N18" s="8">
        <f t="shared" si="5"/>
        <v>8.771929824561403E-2</v>
      </c>
      <c r="O18" s="8">
        <f t="shared" si="6"/>
        <v>8.771929824561403E-2</v>
      </c>
      <c r="P18" s="8">
        <f>SQRT(((M18-$B$41)^2+(N18-$B$41)^2+(O18-$B$41)^2)/3)</f>
        <v>8.110192617042776E-2</v>
      </c>
      <c r="Q18" s="8">
        <f>SQRT(((M18-$C$41)^2+(N18-$C$41)^2+(O18-$C$41)^2)/3)</f>
        <v>2.3874169032974443E-2</v>
      </c>
    </row>
    <row r="19" spans="1:17" ht="19.05" customHeight="1">
      <c r="A19" s="4" t="s">
        <v>62</v>
      </c>
      <c r="B19" s="4" t="s">
        <v>6</v>
      </c>
      <c r="C19" s="4">
        <f>Оценки!H15</f>
        <v>8</v>
      </c>
      <c r="D19" s="4">
        <f>Оценки!I15</f>
        <v>9</v>
      </c>
      <c r="E19" s="4">
        <f>Оценки!J15</f>
        <v>9</v>
      </c>
      <c r="F19" s="4">
        <f>$I$6</f>
        <v>9</v>
      </c>
      <c r="G19" s="9">
        <f t="shared" si="1"/>
        <v>0.88888888888888884</v>
      </c>
      <c r="H19" s="9">
        <f t="shared" si="2"/>
        <v>1</v>
      </c>
      <c r="I19" s="9">
        <f t="shared" si="3"/>
        <v>1</v>
      </c>
      <c r="J19" s="9">
        <f>$F$6</f>
        <v>0.21052631578947367</v>
      </c>
      <c r="K19" s="9">
        <f>$G$6</f>
        <v>0.23684210526315788</v>
      </c>
      <c r="L19" s="9">
        <f>$H$6</f>
        <v>0.23684210526315788</v>
      </c>
      <c r="M19" s="9">
        <f t="shared" si="4"/>
        <v>0.1871345029239766</v>
      </c>
      <c r="N19" s="9">
        <f t="shared" si="5"/>
        <v>0.23684210526315788</v>
      </c>
      <c r="O19" s="9">
        <f t="shared" si="6"/>
        <v>0.23684210526315788</v>
      </c>
      <c r="P19" s="9">
        <f>SQRT(((M19-$B$37)^2+(N19-$B$37)^2+(O19-$B$37)^2)/3)</f>
        <v>2.8698697591297184E-2</v>
      </c>
      <c r="Q19" s="9">
        <f>SQRT(((M19-$C$37)^2+(N19-$C$37)^2+(O19-$C$37)^2)/3)</f>
        <v>8.3286297043229068E-2</v>
      </c>
    </row>
    <row r="20" spans="1:17" ht="19.05" customHeight="1">
      <c r="A20" s="1" t="s">
        <v>62</v>
      </c>
      <c r="B20" s="1" t="s">
        <v>10</v>
      </c>
      <c r="C20" s="1">
        <f>Оценки!H16</f>
        <v>7</v>
      </c>
      <c r="D20" s="1">
        <f>Оценки!I16</f>
        <v>8</v>
      </c>
      <c r="E20" s="1">
        <f>Оценки!J16</f>
        <v>8</v>
      </c>
      <c r="F20" s="1">
        <f>$I$7</f>
        <v>9</v>
      </c>
      <c r="G20" s="8">
        <f t="shared" si="1"/>
        <v>0.77777777777777779</v>
      </c>
      <c r="H20" s="8">
        <f t="shared" si="2"/>
        <v>0.88888888888888884</v>
      </c>
      <c r="I20" s="8">
        <f t="shared" si="3"/>
        <v>0.88888888888888884</v>
      </c>
      <c r="J20" s="8">
        <f>$F$7</f>
        <v>0.21052631578947367</v>
      </c>
      <c r="K20" s="8">
        <f>$G$7</f>
        <v>0.21052631578947367</v>
      </c>
      <c r="L20" s="8">
        <f>$H$7</f>
        <v>0.23684210526315788</v>
      </c>
      <c r="M20" s="8">
        <f t="shared" si="4"/>
        <v>0.16374269005847952</v>
      </c>
      <c r="N20" s="8">
        <f t="shared" si="5"/>
        <v>0.1871345029239766</v>
      </c>
      <c r="O20" s="8">
        <f t="shared" si="6"/>
        <v>0.21052631578947367</v>
      </c>
      <c r="P20" s="8">
        <f>SQRT(((M20-$B$38)^2+(N20-$B$38)^2+(O20-$B$38)^2)/3)</f>
        <v>5.3250636957690972E-2</v>
      </c>
      <c r="Q20" s="8">
        <f>SQRT(((M20-$C$38)^2+(N20-$C$38)^2+(O20-$C$38)^2)/3)</f>
        <v>7.2728101778470278E-2</v>
      </c>
    </row>
    <row r="21" spans="1:17" ht="19.05" customHeight="1">
      <c r="A21" s="1" t="s">
        <v>62</v>
      </c>
      <c r="B21" s="1" t="s">
        <v>14</v>
      </c>
      <c r="C21" s="1">
        <f>Оценки!H17</f>
        <v>8</v>
      </c>
      <c r="D21" s="1">
        <f>Оценки!I17</f>
        <v>9</v>
      </c>
      <c r="E21" s="1">
        <f>Оценки!J17</f>
        <v>9</v>
      </c>
      <c r="F21" s="1">
        <f>$I$8</f>
        <v>9</v>
      </c>
      <c r="G21" s="8">
        <f t="shared" si="1"/>
        <v>0.88888888888888884</v>
      </c>
      <c r="H21" s="8">
        <f t="shared" si="2"/>
        <v>1</v>
      </c>
      <c r="I21" s="8">
        <f t="shared" si="3"/>
        <v>1</v>
      </c>
      <c r="J21" s="8">
        <f>$F$8</f>
        <v>0.18421052631578946</v>
      </c>
      <c r="K21" s="8">
        <f>$G$8</f>
        <v>0.21052631578947367</v>
      </c>
      <c r="L21" s="8">
        <f>$H$8</f>
        <v>0.21052631578947367</v>
      </c>
      <c r="M21" s="8">
        <f t="shared" si="4"/>
        <v>0.16374269005847952</v>
      </c>
      <c r="N21" s="8">
        <f t="shared" si="5"/>
        <v>0.21052631578947367</v>
      </c>
      <c r="O21" s="8">
        <f t="shared" si="6"/>
        <v>0.21052631578947367</v>
      </c>
      <c r="P21" s="8">
        <f>SQRT(((M21-$B$39)^2+(N21-$B$39)^2+(O21-$B$39)^2)/3)</f>
        <v>2.7010538909456174E-2</v>
      </c>
      <c r="Q21" s="8">
        <f>SQRT(((M21-$C$39)^2+(N21-$C$39)^2+(O21-$C$39)^2)/3)</f>
        <v>7.5421216850499434E-2</v>
      </c>
    </row>
    <row r="22" spans="1:17" ht="19.05" customHeight="1">
      <c r="A22" s="1" t="s">
        <v>62</v>
      </c>
      <c r="B22" s="1" t="s">
        <v>18</v>
      </c>
      <c r="C22" s="1">
        <f>Оценки!H18</f>
        <v>8</v>
      </c>
      <c r="D22" s="1">
        <f>Оценки!I18</f>
        <v>9</v>
      </c>
      <c r="E22" s="1">
        <f>Оценки!J18</f>
        <v>9</v>
      </c>
      <c r="F22" s="1">
        <f>$I$9</f>
        <v>9</v>
      </c>
      <c r="G22" s="8">
        <f t="shared" si="1"/>
        <v>0.88888888888888884</v>
      </c>
      <c r="H22" s="8">
        <f t="shared" si="2"/>
        <v>1</v>
      </c>
      <c r="I22" s="8">
        <f t="shared" si="3"/>
        <v>1</v>
      </c>
      <c r="J22" s="8">
        <f>$F$9</f>
        <v>0.15789473684210525</v>
      </c>
      <c r="K22" s="8">
        <f>$G$9</f>
        <v>0.18421052631578946</v>
      </c>
      <c r="L22" s="8">
        <f>$H$9</f>
        <v>0.18421052631578946</v>
      </c>
      <c r="M22" s="8">
        <f t="shared" si="4"/>
        <v>0.14035087719298245</v>
      </c>
      <c r="N22" s="8">
        <f t="shared" si="5"/>
        <v>0.18421052631578946</v>
      </c>
      <c r="O22" s="8">
        <f t="shared" si="6"/>
        <v>0.18421052631578946</v>
      </c>
      <c r="P22" s="8">
        <f>SQRT(((M22-$B$40)^2+(N22-$B$40)^2+(O22-$B$40)^2)/3)</f>
        <v>2.5322380227615165E-2</v>
      </c>
      <c r="Q22" s="8">
        <f>SQRT(((M22-$C$40)^2+(N22-$C$40)^2+(O22-$C$40)^2)/3)</f>
        <v>6.7568538060183286E-2</v>
      </c>
    </row>
    <row r="23" spans="1:17" ht="19.05" customHeight="1">
      <c r="A23" s="1" t="s">
        <v>62</v>
      </c>
      <c r="B23" s="1" t="s">
        <v>22</v>
      </c>
      <c r="C23" s="1">
        <f>Оценки!H19</f>
        <v>8</v>
      </c>
      <c r="D23" s="1">
        <f>Оценки!I19</f>
        <v>8</v>
      </c>
      <c r="E23" s="1">
        <f>Оценки!J19</f>
        <v>9</v>
      </c>
      <c r="F23" s="1">
        <f>$I$10</f>
        <v>9</v>
      </c>
      <c r="G23" s="8">
        <f t="shared" si="1"/>
        <v>0.88888888888888884</v>
      </c>
      <c r="H23" s="8">
        <f t="shared" si="2"/>
        <v>0.88888888888888884</v>
      </c>
      <c r="I23" s="8">
        <f t="shared" si="3"/>
        <v>1</v>
      </c>
      <c r="J23" s="8">
        <f>$F$10</f>
        <v>0.13157894736842105</v>
      </c>
      <c r="K23" s="8">
        <f>$G$10</f>
        <v>0.15789473684210525</v>
      </c>
      <c r="L23" s="8">
        <f>$H$10</f>
        <v>0.15789473684210525</v>
      </c>
      <c r="M23" s="8">
        <f t="shared" si="4"/>
        <v>0.11695906432748537</v>
      </c>
      <c r="N23" s="8">
        <f t="shared" si="5"/>
        <v>0.14035087719298245</v>
      </c>
      <c r="O23" s="8">
        <f t="shared" si="6"/>
        <v>0.15789473684210525</v>
      </c>
      <c r="P23" s="8">
        <f>SQRT(((M23-$B$41)^2+(N23-$B$41)^2+(O23-$B$41)^2)/3)</f>
        <v>2.5713266975190871E-2</v>
      </c>
      <c r="Q23" s="8">
        <f>SQRT(((M23-$C$41)^2+(N23-$C$41)^2+(O23-$C$41)^2)/3)</f>
        <v>8.1662222478180932E-2</v>
      </c>
    </row>
    <row r="24" spans="1:17" ht="19.05" customHeight="1">
      <c r="A24" s="4" t="s">
        <v>78</v>
      </c>
      <c r="B24" s="4" t="s">
        <v>6</v>
      </c>
      <c r="C24" s="4">
        <f>Оценки!H20</f>
        <v>6</v>
      </c>
      <c r="D24" s="4">
        <f>Оценки!I20</f>
        <v>7</v>
      </c>
      <c r="E24" s="4">
        <f>Оценки!J20</f>
        <v>7</v>
      </c>
      <c r="F24" s="4">
        <f>$I$6</f>
        <v>9</v>
      </c>
      <c r="G24" s="9">
        <f t="shared" si="1"/>
        <v>0.66666666666666663</v>
      </c>
      <c r="H24" s="9">
        <f t="shared" si="2"/>
        <v>0.77777777777777779</v>
      </c>
      <c r="I24" s="9">
        <f t="shared" si="3"/>
        <v>0.77777777777777779</v>
      </c>
      <c r="J24" s="9">
        <f>$F$6</f>
        <v>0.21052631578947367</v>
      </c>
      <c r="K24" s="9">
        <f>$G$6</f>
        <v>0.23684210526315788</v>
      </c>
      <c r="L24" s="9">
        <f>$H$6</f>
        <v>0.23684210526315788</v>
      </c>
      <c r="M24" s="9">
        <f t="shared" si="4"/>
        <v>0.14035087719298245</v>
      </c>
      <c r="N24" s="9">
        <f t="shared" si="5"/>
        <v>0.18421052631578946</v>
      </c>
      <c r="O24" s="9">
        <f t="shared" si="6"/>
        <v>0.18421052631578946</v>
      </c>
      <c r="P24" s="9">
        <f>SQRT(((M24-$B$37)^2+(N24-$B$37)^2+(O24-$B$37)^2)/3)</f>
        <v>7.0357949798338967E-2</v>
      </c>
      <c r="Q24" s="9">
        <f>SQRT(((M24-$C$37)^2+(N24-$C$37)^2+(O24-$C$37)^2)/3)</f>
        <v>3.5811253549461665E-2</v>
      </c>
    </row>
    <row r="25" spans="1:17" ht="19.05" customHeight="1">
      <c r="A25" s="1" t="s">
        <v>78</v>
      </c>
      <c r="B25" s="1" t="s">
        <v>10</v>
      </c>
      <c r="C25" s="1">
        <f>Оценки!H21</f>
        <v>8</v>
      </c>
      <c r="D25" s="1">
        <f>Оценки!I21</f>
        <v>8</v>
      </c>
      <c r="E25" s="1">
        <f>Оценки!J21</f>
        <v>9</v>
      </c>
      <c r="F25" s="1">
        <f>$I$7</f>
        <v>9</v>
      </c>
      <c r="G25" s="8">
        <f t="shared" si="1"/>
        <v>0.88888888888888884</v>
      </c>
      <c r="H25" s="8">
        <f t="shared" si="2"/>
        <v>0.88888888888888884</v>
      </c>
      <c r="I25" s="8">
        <f t="shared" si="3"/>
        <v>1</v>
      </c>
      <c r="J25" s="8">
        <f>$F$7</f>
        <v>0.21052631578947367</v>
      </c>
      <c r="K25" s="8">
        <f>$G$7</f>
        <v>0.21052631578947367</v>
      </c>
      <c r="L25" s="8">
        <f>$H$7</f>
        <v>0.23684210526315788</v>
      </c>
      <c r="M25" s="8">
        <f t="shared" si="4"/>
        <v>0.1871345029239766</v>
      </c>
      <c r="N25" s="8">
        <f t="shared" si="5"/>
        <v>0.1871345029239766</v>
      </c>
      <c r="O25" s="8">
        <f t="shared" si="6"/>
        <v>0.23684210526315788</v>
      </c>
      <c r="P25" s="8">
        <f>SQRT(((M25-$B$38)^2+(N25-$B$38)^2+(O25-$B$38)^2)/3)</f>
        <v>4.0586087356056552E-2</v>
      </c>
      <c r="Q25" s="8">
        <f>SQRT(((M25-$C$38)^2+(N25-$C$38)^2+(O25-$C$38)^2)/3)</f>
        <v>8.9853821785542229E-2</v>
      </c>
    </row>
    <row r="26" spans="1:17" ht="19.05" customHeight="1">
      <c r="A26" s="1" t="s">
        <v>78</v>
      </c>
      <c r="B26" s="1" t="s">
        <v>14</v>
      </c>
      <c r="C26" s="1">
        <f>Оценки!H22</f>
        <v>7</v>
      </c>
      <c r="D26" s="1">
        <f>Оценки!I22</f>
        <v>8</v>
      </c>
      <c r="E26" s="1">
        <f>Оценки!J22</f>
        <v>8</v>
      </c>
      <c r="F26" s="1">
        <f>$I$8</f>
        <v>9</v>
      </c>
      <c r="G26" s="8">
        <f t="shared" si="1"/>
        <v>0.77777777777777779</v>
      </c>
      <c r="H26" s="8">
        <f t="shared" si="2"/>
        <v>0.88888888888888884</v>
      </c>
      <c r="I26" s="8">
        <f t="shared" si="3"/>
        <v>0.88888888888888884</v>
      </c>
      <c r="J26" s="8">
        <f>$F$8</f>
        <v>0.18421052631578946</v>
      </c>
      <c r="K26" s="8">
        <f>$G$8</f>
        <v>0.21052631578947367</v>
      </c>
      <c r="L26" s="8">
        <f>$H$8</f>
        <v>0.21052631578947367</v>
      </c>
      <c r="M26" s="8">
        <f t="shared" si="4"/>
        <v>0.14327485380116958</v>
      </c>
      <c r="N26" s="8">
        <f t="shared" si="5"/>
        <v>0.1871345029239766</v>
      </c>
      <c r="O26" s="8">
        <f t="shared" si="6"/>
        <v>0.1871345029239766</v>
      </c>
      <c r="P26" s="8">
        <f>SQRT(((M26-$B$39)^2+(N26-$B$39)^2+(O26-$B$39)^2)/3)</f>
        <v>4.3270902301019709E-2</v>
      </c>
      <c r="Q26" s="8">
        <f>SQRT(((M26-$C$39)^2+(N26-$C$39)^2+(O26-$C$39)^2)/3)</f>
        <v>5.3836118829011605E-2</v>
      </c>
    </row>
    <row r="27" spans="1:17" ht="19.05" customHeight="1">
      <c r="A27" s="1" t="s">
        <v>78</v>
      </c>
      <c r="B27" s="1" t="s">
        <v>18</v>
      </c>
      <c r="C27" s="1">
        <f>Оценки!H23</f>
        <v>7</v>
      </c>
      <c r="D27" s="1">
        <f>Оценки!I23</f>
        <v>8</v>
      </c>
      <c r="E27" s="1">
        <f>Оценки!J23</f>
        <v>8</v>
      </c>
      <c r="F27" s="1">
        <f>$I$9</f>
        <v>9</v>
      </c>
      <c r="G27" s="8">
        <f t="shared" si="1"/>
        <v>0.77777777777777779</v>
      </c>
      <c r="H27" s="8">
        <f t="shared" si="2"/>
        <v>0.88888888888888884</v>
      </c>
      <c r="I27" s="8">
        <f t="shared" si="3"/>
        <v>0.88888888888888884</v>
      </c>
      <c r="J27" s="8">
        <f>$F$9</f>
        <v>0.15789473684210525</v>
      </c>
      <c r="K27" s="8">
        <f>$G$9</f>
        <v>0.18421052631578946</v>
      </c>
      <c r="L27" s="8">
        <f>$H$9</f>
        <v>0.18421052631578946</v>
      </c>
      <c r="M27" s="8">
        <f t="shared" si="4"/>
        <v>0.12280701754385964</v>
      </c>
      <c r="N27" s="8">
        <f t="shared" si="5"/>
        <v>0.16374269005847952</v>
      </c>
      <c r="O27" s="8">
        <f t="shared" si="6"/>
        <v>0.16374269005847952</v>
      </c>
      <c r="P27" s="8">
        <f>SQRT(((M27-$B$40)^2+(N27-$B$40)^2+(O27-$B$40)^2)/3)</f>
        <v>3.9192922539733131E-2</v>
      </c>
      <c r="Q27" s="8">
        <f>SQRT(((M27-$C$40)^2+(N27-$C$40)^2+(O27-$C$40)^2)/3)</f>
        <v>4.881085390077549E-2</v>
      </c>
    </row>
    <row r="28" spans="1:17" ht="19.05" customHeight="1">
      <c r="A28" s="1" t="s">
        <v>78</v>
      </c>
      <c r="B28" s="1" t="s">
        <v>22</v>
      </c>
      <c r="C28" s="1">
        <f>Оценки!H24</f>
        <v>7</v>
      </c>
      <c r="D28" s="1">
        <f>Оценки!I24</f>
        <v>7</v>
      </c>
      <c r="E28" s="1">
        <f>Оценки!J24</f>
        <v>8</v>
      </c>
      <c r="F28" s="1">
        <f>$I$10</f>
        <v>9</v>
      </c>
      <c r="G28" s="8">
        <f t="shared" si="1"/>
        <v>0.77777777777777779</v>
      </c>
      <c r="H28" s="8">
        <f t="shared" si="2"/>
        <v>0.77777777777777779</v>
      </c>
      <c r="I28" s="8">
        <f t="shared" si="3"/>
        <v>0.88888888888888884</v>
      </c>
      <c r="J28" s="8">
        <f>$F$10</f>
        <v>0.13157894736842105</v>
      </c>
      <c r="K28" s="8">
        <f>$G$10</f>
        <v>0.15789473684210525</v>
      </c>
      <c r="L28" s="8">
        <f>$H$10</f>
        <v>0.15789473684210525</v>
      </c>
      <c r="M28" s="8">
        <f t="shared" si="4"/>
        <v>0.1023391812865497</v>
      </c>
      <c r="N28" s="8">
        <f t="shared" si="5"/>
        <v>0.12280701754385964</v>
      </c>
      <c r="O28" s="8">
        <f t="shared" si="6"/>
        <v>0.14035087719298245</v>
      </c>
      <c r="P28" s="8">
        <f>SQRT(((M28-$B$41)^2+(N28-$B$41)^2+(O28-$B$41)^2)/3)</f>
        <v>3.9265569353769368E-2</v>
      </c>
      <c r="Q28" s="8">
        <f>SQRT(((M28-$C$41)^2+(N28-$C$41)^2+(O28-$C$41)^2)/3)</f>
        <v>6.5229367960047274E-2</v>
      </c>
    </row>
    <row r="29" spans="1:17" ht="19.05" customHeight="1">
      <c r="A29" s="4" t="s">
        <v>92</v>
      </c>
      <c r="B29" s="4" t="s">
        <v>6</v>
      </c>
      <c r="C29" s="4">
        <f>Оценки!H25</f>
        <v>7</v>
      </c>
      <c r="D29" s="4">
        <f>Оценки!I25</f>
        <v>8</v>
      </c>
      <c r="E29" s="4">
        <f>Оценки!J25</f>
        <v>8</v>
      </c>
      <c r="F29" s="4">
        <f>$I$6</f>
        <v>9</v>
      </c>
      <c r="G29" s="9">
        <f t="shared" si="1"/>
        <v>0.77777777777777779</v>
      </c>
      <c r="H29" s="9">
        <f t="shared" si="2"/>
        <v>0.88888888888888884</v>
      </c>
      <c r="I29" s="9">
        <f t="shared" si="3"/>
        <v>0.88888888888888884</v>
      </c>
      <c r="J29" s="9">
        <f>$F$6</f>
        <v>0.21052631578947367</v>
      </c>
      <c r="K29" s="9">
        <f>$G$6</f>
        <v>0.23684210526315788</v>
      </c>
      <c r="L29" s="9">
        <f>$H$6</f>
        <v>0.23684210526315788</v>
      </c>
      <c r="M29" s="9">
        <f t="shared" si="4"/>
        <v>0.16374269005847952</v>
      </c>
      <c r="N29" s="9">
        <f t="shared" si="5"/>
        <v>0.21052631578947367</v>
      </c>
      <c r="O29" s="9">
        <f t="shared" si="6"/>
        <v>0.21052631578947367</v>
      </c>
      <c r="P29" s="9">
        <f>SQRT(((M29-$B$37)^2+(N29-$B$37)^2+(O29-$B$37)^2)/3)</f>
        <v>4.7358793813864881E-2</v>
      </c>
      <c r="Q29" s="9">
        <f>SQRT(((M29-$C$37)^2+(N29-$C$37)^2+(O29-$C$37)^2)/3)</f>
        <v>5.8868104758446393E-2</v>
      </c>
    </row>
    <row r="30" spans="1:17" ht="19.05" customHeight="1">
      <c r="A30" s="1" t="s">
        <v>92</v>
      </c>
      <c r="B30" s="1" t="s">
        <v>10</v>
      </c>
      <c r="C30" s="1">
        <f>Оценки!H26</f>
        <v>5</v>
      </c>
      <c r="D30" s="1">
        <f>Оценки!I26</f>
        <v>6</v>
      </c>
      <c r="E30" s="1">
        <f>Оценки!J26</f>
        <v>6</v>
      </c>
      <c r="F30" s="1">
        <f>$I$7</f>
        <v>9</v>
      </c>
      <c r="G30" s="8">
        <f t="shared" si="1"/>
        <v>0.55555555555555558</v>
      </c>
      <c r="H30" s="8">
        <f t="shared" si="2"/>
        <v>0.66666666666666663</v>
      </c>
      <c r="I30" s="8">
        <f t="shared" si="3"/>
        <v>0.66666666666666663</v>
      </c>
      <c r="J30" s="8">
        <f>$F$7</f>
        <v>0.21052631578947367</v>
      </c>
      <c r="K30" s="8">
        <f>$G$7</f>
        <v>0.21052631578947367</v>
      </c>
      <c r="L30" s="8">
        <f>$H$7</f>
        <v>0.23684210526315788</v>
      </c>
      <c r="M30" s="8">
        <f t="shared" si="4"/>
        <v>0.11695906432748537</v>
      </c>
      <c r="N30" s="8">
        <f t="shared" si="5"/>
        <v>0.14035087719298245</v>
      </c>
      <c r="O30" s="8">
        <f t="shared" si="6"/>
        <v>0.15789473684210525</v>
      </c>
      <c r="P30" s="8">
        <f>SQRT(((M30-$B$38)^2+(N30-$B$38)^2+(O30-$B$38)^2)/3)</f>
        <v>9.9858545918854902E-2</v>
      </c>
      <c r="Q30" s="8">
        <f>SQRT(((M30-$C$38)^2+(N30-$C$38)^2+(O30-$C$38)^2)/3)</f>
        <v>2.7220740826060314E-2</v>
      </c>
    </row>
    <row r="31" spans="1:17" ht="19.05" customHeight="1">
      <c r="A31" s="1" t="s">
        <v>92</v>
      </c>
      <c r="B31" s="1" t="s">
        <v>14</v>
      </c>
      <c r="C31" s="1">
        <f>Оценки!H27</f>
        <v>6</v>
      </c>
      <c r="D31" s="1">
        <f>Оценки!I27</f>
        <v>7</v>
      </c>
      <c r="E31" s="1">
        <f>Оценки!J27</f>
        <v>7</v>
      </c>
      <c r="F31" s="1">
        <f>$I$8</f>
        <v>9</v>
      </c>
      <c r="G31" s="8">
        <f t="shared" si="1"/>
        <v>0.66666666666666663</v>
      </c>
      <c r="H31" s="8">
        <f t="shared" si="2"/>
        <v>0.77777777777777779</v>
      </c>
      <c r="I31" s="8">
        <f t="shared" si="3"/>
        <v>0.77777777777777779</v>
      </c>
      <c r="J31" s="8">
        <f>$F$8</f>
        <v>0.18421052631578946</v>
      </c>
      <c r="K31" s="8">
        <f>$G$8</f>
        <v>0.21052631578947367</v>
      </c>
      <c r="L31" s="8">
        <f>$H$8</f>
        <v>0.21052631578947367</v>
      </c>
      <c r="M31" s="8">
        <f t="shared" si="4"/>
        <v>0.12280701754385964</v>
      </c>
      <c r="N31" s="8">
        <f t="shared" si="5"/>
        <v>0.16374269005847952</v>
      </c>
      <c r="O31" s="8">
        <f t="shared" si="6"/>
        <v>0.16374269005847952</v>
      </c>
      <c r="P31" s="8">
        <f>SQRT(((M31-$B$39)^2+(N31-$B$39)^2+(O31-$B$39)^2)/3)</f>
        <v>6.3435244036151958E-2</v>
      </c>
      <c r="Q31" s="8">
        <f>SQRT(((M31-$C$39)^2+(N31-$C$39)^2+(O31-$C$39)^2)/3)</f>
        <v>3.3423836646164218E-2</v>
      </c>
    </row>
    <row r="32" spans="1:17" ht="19.05" customHeight="1">
      <c r="A32" s="1" t="s">
        <v>92</v>
      </c>
      <c r="B32" s="1" t="s">
        <v>18</v>
      </c>
      <c r="C32" s="1">
        <f>Оценки!H28</f>
        <v>6</v>
      </c>
      <c r="D32" s="1">
        <f>Оценки!I28</f>
        <v>7</v>
      </c>
      <c r="E32" s="1">
        <f>Оценки!J28</f>
        <v>7</v>
      </c>
      <c r="F32" s="1">
        <f>$I$9</f>
        <v>9</v>
      </c>
      <c r="G32" s="8">
        <f t="shared" si="1"/>
        <v>0.66666666666666663</v>
      </c>
      <c r="H32" s="8">
        <f t="shared" si="2"/>
        <v>0.77777777777777779</v>
      </c>
      <c r="I32" s="8">
        <f t="shared" si="3"/>
        <v>0.77777777777777779</v>
      </c>
      <c r="J32" s="8">
        <f>$F$9</f>
        <v>0.15789473684210525</v>
      </c>
      <c r="K32" s="8">
        <f>$G$9</f>
        <v>0.18421052631578946</v>
      </c>
      <c r="L32" s="8">
        <f>$H$9</f>
        <v>0.18421052631578946</v>
      </c>
      <c r="M32" s="8">
        <f t="shared" si="4"/>
        <v>0.10526315789473684</v>
      </c>
      <c r="N32" s="8">
        <f t="shared" si="5"/>
        <v>0.14327485380116958</v>
      </c>
      <c r="O32" s="8">
        <f t="shared" si="6"/>
        <v>0.14327485380116958</v>
      </c>
      <c r="P32" s="8">
        <f>SQRT(((M32-$B$40)^2+(N32-$B$40)^2+(O32-$B$40)^2)/3)</f>
        <v>5.6521811568803031E-2</v>
      </c>
      <c r="Q32" s="8">
        <f>SQRT(((M32-$C$40)^2+(N32-$C$40)^2+(O32-$C$40)^2)/3)</f>
        <v>3.1036419742866778E-2</v>
      </c>
    </row>
    <row r="33" spans="1:17" ht="19.05" customHeight="1">
      <c r="A33" s="1" t="s">
        <v>92</v>
      </c>
      <c r="B33" s="1" t="s">
        <v>22</v>
      </c>
      <c r="C33" s="1">
        <f>Оценки!H29</f>
        <v>8</v>
      </c>
      <c r="D33" s="1">
        <f>Оценки!I29</f>
        <v>9</v>
      </c>
      <c r="E33" s="1">
        <f>Оценки!J29</f>
        <v>9</v>
      </c>
      <c r="F33" s="1">
        <f>$I$10</f>
        <v>9</v>
      </c>
      <c r="G33" s="8">
        <f t="shared" si="1"/>
        <v>0.88888888888888884</v>
      </c>
      <c r="H33" s="8">
        <f t="shared" si="2"/>
        <v>1</v>
      </c>
      <c r="I33" s="8">
        <f t="shared" si="3"/>
        <v>1</v>
      </c>
      <c r="J33" s="8">
        <f>$F$10</f>
        <v>0.13157894736842105</v>
      </c>
      <c r="K33" s="8">
        <f>$G$10</f>
        <v>0.15789473684210525</v>
      </c>
      <c r="L33" s="8">
        <f>$H$10</f>
        <v>0.15789473684210525</v>
      </c>
      <c r="M33" s="8">
        <f t="shared" si="4"/>
        <v>0.11695906432748537</v>
      </c>
      <c r="N33" s="8">
        <f t="shared" si="5"/>
        <v>0.15789473684210525</v>
      </c>
      <c r="O33" s="8">
        <f t="shared" si="6"/>
        <v>0.15789473684210525</v>
      </c>
      <c r="P33" s="8">
        <f>SQRT(((M33-$B$41)^2+(N33-$B$41)^2+(O33-$B$41)^2)/3)</f>
        <v>2.3634221545774152E-2</v>
      </c>
      <c r="Q33" s="8">
        <f>SQRT(((M33-$C$41)^2+(N33-$C$41)^2+(O33-$C$41)^2)/3)</f>
        <v>8.7914013908613489E-2</v>
      </c>
    </row>
    <row r="34" spans="1:17" ht="19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5.95" customHeight="1">
      <c r="A35" s="19" t="s">
        <v>147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30" customHeight="1">
      <c r="A36" s="2" t="s">
        <v>3</v>
      </c>
      <c r="B36" s="2" t="s">
        <v>148</v>
      </c>
      <c r="C36" s="2" t="s">
        <v>149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 t="s">
        <v>6</v>
      </c>
      <c r="B37" s="8">
        <f>MAX(O14,O19,O24,O29)</f>
        <v>0.23684210526315788</v>
      </c>
      <c r="C37" s="8">
        <f>MIN(M14,M19,M24,M29)</f>
        <v>0.14035087719298245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 t="s">
        <v>10</v>
      </c>
      <c r="B38" s="8">
        <f>MAX(O15,O20,O25,O30)</f>
        <v>0.23684210526315788</v>
      </c>
      <c r="C38" s="8">
        <f>MIN(M15,M20,M25,M30)</f>
        <v>0.11695906432748537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 t="s">
        <v>14</v>
      </c>
      <c r="B39" s="8">
        <f>MAX(O16,O21,O26,O31)</f>
        <v>0.21052631578947367</v>
      </c>
      <c r="C39" s="8">
        <f>MIN(M16,M21,M26,M31)</f>
        <v>0.12280701754385964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 t="s">
        <v>18</v>
      </c>
      <c r="B40" s="8">
        <f>MAX(O17,O22,O27,O32)</f>
        <v>0.18421052631578946</v>
      </c>
      <c r="C40" s="8">
        <f>MIN(M17,M22,M27,M32)</f>
        <v>0.10526315789473684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 t="s">
        <v>22</v>
      </c>
      <c r="B41" s="8">
        <f>MAX(O18,O23,O28,O33)</f>
        <v>0.15789473684210525</v>
      </c>
      <c r="C41" s="8">
        <f>MIN(M18,M23,M28,M33)</f>
        <v>5.8479532163742687E-2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5.95" customHeight="1">
      <c r="A43" s="19" t="s">
        <v>150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spans="1:17" ht="30" customHeight="1">
      <c r="A44" s="2" t="s">
        <v>120</v>
      </c>
      <c r="B44" s="2" t="s">
        <v>29</v>
      </c>
      <c r="C44" s="2" t="s">
        <v>145</v>
      </c>
      <c r="D44" s="2" t="s">
        <v>146</v>
      </c>
      <c r="E44" s="2" t="s">
        <v>151</v>
      </c>
      <c r="F44" s="2" t="s">
        <v>152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7" t="s">
        <v>33</v>
      </c>
      <c r="B45" s="7" t="s">
        <v>34</v>
      </c>
      <c r="C45" s="10">
        <f>SUM(P14:P18)</f>
        <v>0.2200863374484977</v>
      </c>
      <c r="D45" s="10">
        <f>SUM(Q14:Q18)</f>
        <v>0.31321191317952091</v>
      </c>
      <c r="E45" s="10">
        <f>D45/(C45+D45)</f>
        <v>0.5873109705698053</v>
      </c>
      <c r="F45" s="7">
        <f>RANK(E45,$E$45:$E$48,0)</f>
        <v>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7" t="s">
        <v>62</v>
      </c>
      <c r="B46" s="7" t="s">
        <v>63</v>
      </c>
      <c r="C46" s="10">
        <f>SUM(P19:P23)</f>
        <v>0.15999552066125039</v>
      </c>
      <c r="D46" s="10">
        <f>SUM(Q19:Q23)</f>
        <v>0.38066637621056304</v>
      </c>
      <c r="E46" s="10">
        <f>D46/(C46+D46)</f>
        <v>0.70407472472730215</v>
      </c>
      <c r="F46" s="7">
        <f>RANK(E46,$E$45:$E$48,0)</f>
        <v>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7" t="s">
        <v>78</v>
      </c>
      <c r="B47" s="7" t="s">
        <v>79</v>
      </c>
      <c r="C47" s="10">
        <f>SUM(P24:P28)</f>
        <v>0.23267343134891774</v>
      </c>
      <c r="D47" s="10">
        <f>SUM(Q24:Q28)</f>
        <v>0.2935414160248383</v>
      </c>
      <c r="E47" s="10">
        <f>D47/(C47+D47)</f>
        <v>0.55783567774617326</v>
      </c>
      <c r="F47" s="7">
        <f>RANK(E47,$E$45:$E$48,0)</f>
        <v>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7" t="s">
        <v>92</v>
      </c>
      <c r="B48" s="7" t="s">
        <v>93</v>
      </c>
      <c r="C48" s="10">
        <f>SUM(P29:P33)</f>
        <v>0.29080861688344894</v>
      </c>
      <c r="D48" s="10">
        <f>SUM(Q29:Q33)</f>
        <v>0.23846311588215119</v>
      </c>
      <c r="E48" s="10">
        <f>D48/(C48+D48)</f>
        <v>0.45054950249489317</v>
      </c>
      <c r="F48" s="7">
        <f>RANK(E48,$E$45:$E$48,0)</f>
        <v>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6">
    <mergeCell ref="A43:Q43"/>
    <mergeCell ref="A1:Q2"/>
    <mergeCell ref="A3:Q3"/>
    <mergeCell ref="A4:Q4"/>
    <mergeCell ref="A12:Q12"/>
    <mergeCell ref="A35:Q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0"/>
  <sheetViews>
    <sheetView workbookViewId="0">
      <pane ySplit="4" topLeftCell="A5" activePane="bottomLeft" state="frozen"/>
      <selection pane="bottomLeft" sqref="A1:H2"/>
    </sheetView>
  </sheetViews>
  <sheetFormatPr defaultRowHeight="13.8"/>
  <cols>
    <col min="1" max="1" width="15" customWidth="1"/>
    <col min="2" max="2" width="25" customWidth="1"/>
    <col min="3" max="7" width="16" customWidth="1"/>
    <col min="8" max="8" width="19" customWidth="1"/>
  </cols>
  <sheetData>
    <row r="1" spans="1:17" ht="24" customHeight="1">
      <c r="A1" s="17" t="s">
        <v>153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"/>
      <c r="J2" s="1"/>
      <c r="K2" s="1"/>
      <c r="L2" s="1"/>
      <c r="M2" s="1"/>
      <c r="N2" s="1"/>
      <c r="O2" s="1"/>
      <c r="P2" s="1"/>
      <c r="Q2" s="1"/>
    </row>
    <row r="3" spans="1:17" ht="19.05" customHeight="1">
      <c r="A3" s="18" t="s">
        <v>154</v>
      </c>
      <c r="B3" s="18"/>
      <c r="C3" s="18"/>
      <c r="D3" s="18"/>
      <c r="E3" s="18"/>
      <c r="F3" s="18"/>
      <c r="G3" s="18"/>
      <c r="H3" s="18"/>
      <c r="I3" s="1"/>
      <c r="J3" s="1"/>
      <c r="K3" s="1"/>
      <c r="L3" s="1"/>
      <c r="M3" s="1"/>
      <c r="N3" s="1"/>
      <c r="O3" s="1"/>
      <c r="P3" s="1"/>
      <c r="Q3" s="1"/>
    </row>
    <row r="4" spans="1:17" ht="30" customHeight="1">
      <c r="A4" s="2" t="s">
        <v>155</v>
      </c>
      <c r="B4" s="2" t="s">
        <v>156</v>
      </c>
      <c r="C4" s="2" t="s">
        <v>157</v>
      </c>
      <c r="D4" s="2" t="s">
        <v>158</v>
      </c>
      <c r="E4" s="2" t="s">
        <v>109</v>
      </c>
      <c r="F4" s="2" t="s">
        <v>110</v>
      </c>
      <c r="G4" s="2" t="s">
        <v>111</v>
      </c>
      <c r="H4" s="2" t="s">
        <v>159</v>
      </c>
      <c r="I4" s="1"/>
      <c r="J4" s="1"/>
      <c r="K4" s="1"/>
      <c r="L4" s="1"/>
      <c r="M4" s="1"/>
      <c r="N4" s="1"/>
      <c r="O4" s="1"/>
      <c r="P4" s="1"/>
      <c r="Q4" s="1"/>
    </row>
    <row r="5" spans="1:17" ht="19.05" customHeight="1">
      <c r="A5" s="1" t="s">
        <v>160</v>
      </c>
      <c r="B5" s="3" t="s">
        <v>161</v>
      </c>
      <c r="C5" s="1" t="s">
        <v>6</v>
      </c>
      <c r="D5" s="1" t="s">
        <v>10</v>
      </c>
      <c r="E5" s="11">
        <v>1</v>
      </c>
      <c r="F5" s="11">
        <v>1</v>
      </c>
      <c r="G5" s="11">
        <v>1</v>
      </c>
      <c r="H5" s="12">
        <f t="shared" ref="H5:H44" si="0">(E5*F5*G5)^(1/3)</f>
        <v>1</v>
      </c>
      <c r="I5" s="1"/>
      <c r="J5" s="1"/>
      <c r="K5" s="1"/>
      <c r="L5" s="1"/>
      <c r="M5" s="1"/>
      <c r="N5" s="1"/>
      <c r="O5" s="1"/>
      <c r="P5" s="1"/>
      <c r="Q5" s="1"/>
    </row>
    <row r="6" spans="1:17" ht="19.05" customHeight="1">
      <c r="A6" s="1" t="s">
        <v>160</v>
      </c>
      <c r="B6" s="3" t="s">
        <v>161</v>
      </c>
      <c r="C6" s="1" t="s">
        <v>6</v>
      </c>
      <c r="D6" s="1" t="s">
        <v>14</v>
      </c>
      <c r="E6" s="11">
        <v>2</v>
      </c>
      <c r="F6" s="11">
        <v>2</v>
      </c>
      <c r="G6" s="11">
        <v>2</v>
      </c>
      <c r="H6" s="12">
        <f t="shared" si="0"/>
        <v>1.9999999999999998</v>
      </c>
      <c r="I6" s="1"/>
      <c r="J6" s="1"/>
      <c r="K6" s="1"/>
      <c r="L6" s="1"/>
      <c r="M6" s="1"/>
      <c r="N6" s="1"/>
      <c r="O6" s="1"/>
      <c r="P6" s="1"/>
      <c r="Q6" s="1"/>
    </row>
    <row r="7" spans="1:17" ht="19.05" customHeight="1">
      <c r="A7" s="1" t="s">
        <v>160</v>
      </c>
      <c r="B7" s="3" t="s">
        <v>161</v>
      </c>
      <c r="C7" s="1" t="s">
        <v>6</v>
      </c>
      <c r="D7" s="1" t="s">
        <v>18</v>
      </c>
      <c r="E7" s="11">
        <v>3</v>
      </c>
      <c r="F7" s="11">
        <v>3</v>
      </c>
      <c r="G7" s="11">
        <v>4</v>
      </c>
      <c r="H7" s="12">
        <f t="shared" si="0"/>
        <v>3.3019272488946263</v>
      </c>
      <c r="I7" s="1"/>
      <c r="J7" s="1"/>
      <c r="K7" s="1"/>
      <c r="L7" s="1"/>
      <c r="M7" s="1"/>
      <c r="N7" s="1"/>
      <c r="O7" s="1"/>
      <c r="P7" s="1"/>
      <c r="Q7" s="1"/>
    </row>
    <row r="8" spans="1:17" ht="19.05" customHeight="1">
      <c r="A8" s="1" t="s">
        <v>160</v>
      </c>
      <c r="B8" s="3" t="s">
        <v>161</v>
      </c>
      <c r="C8" s="1" t="s">
        <v>6</v>
      </c>
      <c r="D8" s="1" t="s">
        <v>22</v>
      </c>
      <c r="E8" s="11">
        <v>4</v>
      </c>
      <c r="F8" s="11">
        <v>3</v>
      </c>
      <c r="G8" s="11">
        <v>3</v>
      </c>
      <c r="H8" s="12">
        <f t="shared" si="0"/>
        <v>3.3019272488946263</v>
      </c>
      <c r="I8" s="1"/>
      <c r="J8" s="1"/>
      <c r="K8" s="1"/>
      <c r="L8" s="1"/>
      <c r="M8" s="1"/>
      <c r="N8" s="1"/>
      <c r="O8" s="1"/>
      <c r="P8" s="1"/>
      <c r="Q8" s="1"/>
    </row>
    <row r="9" spans="1:17" ht="19.05" customHeight="1">
      <c r="A9" s="1" t="s">
        <v>160</v>
      </c>
      <c r="B9" s="3" t="s">
        <v>161</v>
      </c>
      <c r="C9" s="1" t="s">
        <v>10</v>
      </c>
      <c r="D9" s="1" t="s">
        <v>14</v>
      </c>
      <c r="E9" s="11">
        <v>2</v>
      </c>
      <c r="F9" s="11">
        <v>2</v>
      </c>
      <c r="G9" s="11">
        <v>2</v>
      </c>
      <c r="H9" s="12">
        <f t="shared" si="0"/>
        <v>1.9999999999999998</v>
      </c>
      <c r="I9" s="1"/>
      <c r="J9" s="1"/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160</v>
      </c>
      <c r="B10" s="3" t="s">
        <v>161</v>
      </c>
      <c r="C10" s="1" t="s">
        <v>10</v>
      </c>
      <c r="D10" s="1" t="s">
        <v>18</v>
      </c>
      <c r="E10" s="11">
        <v>3</v>
      </c>
      <c r="F10" s="11">
        <v>3</v>
      </c>
      <c r="G10" s="11">
        <v>3</v>
      </c>
      <c r="H10" s="12">
        <f t="shared" si="0"/>
        <v>2.9999999999999996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ht="19.05" customHeight="1">
      <c r="A11" s="1" t="s">
        <v>160</v>
      </c>
      <c r="B11" s="3" t="s">
        <v>161</v>
      </c>
      <c r="C11" s="1" t="s">
        <v>10</v>
      </c>
      <c r="D11" s="1" t="s">
        <v>22</v>
      </c>
      <c r="E11" s="11">
        <v>4</v>
      </c>
      <c r="F11" s="11">
        <v>4</v>
      </c>
      <c r="G11" s="11">
        <v>3</v>
      </c>
      <c r="H11" s="12">
        <f t="shared" si="0"/>
        <v>3.6342411856642789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9.05" customHeight="1">
      <c r="A12" s="1" t="s">
        <v>160</v>
      </c>
      <c r="B12" s="3" t="s">
        <v>161</v>
      </c>
      <c r="C12" s="1" t="s">
        <v>14</v>
      </c>
      <c r="D12" s="1" t="s">
        <v>18</v>
      </c>
      <c r="E12" s="11">
        <v>2</v>
      </c>
      <c r="F12" s="11">
        <v>2</v>
      </c>
      <c r="G12" s="11">
        <v>2</v>
      </c>
      <c r="H12" s="12">
        <f t="shared" si="0"/>
        <v>1.9999999999999998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19.05" customHeight="1">
      <c r="A13" s="1" t="s">
        <v>160</v>
      </c>
      <c r="B13" s="3" t="s">
        <v>161</v>
      </c>
      <c r="C13" s="1" t="s">
        <v>14</v>
      </c>
      <c r="D13" s="1" t="s">
        <v>22</v>
      </c>
      <c r="E13" s="11">
        <v>3</v>
      </c>
      <c r="F13" s="11">
        <v>2</v>
      </c>
      <c r="G13" s="11">
        <v>3</v>
      </c>
      <c r="H13" s="12">
        <f t="shared" si="0"/>
        <v>2.6207413942088964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9.05" customHeight="1">
      <c r="A14" s="1" t="s">
        <v>160</v>
      </c>
      <c r="B14" s="3" t="s">
        <v>161</v>
      </c>
      <c r="C14" s="1" t="s">
        <v>18</v>
      </c>
      <c r="D14" s="1" t="s">
        <v>22</v>
      </c>
      <c r="E14" s="11">
        <v>2</v>
      </c>
      <c r="F14" s="11">
        <v>2</v>
      </c>
      <c r="G14" s="11">
        <v>2</v>
      </c>
      <c r="H14" s="12">
        <f t="shared" si="0"/>
        <v>1.9999999999999998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9.05" customHeight="1">
      <c r="A15" s="1" t="s">
        <v>6</v>
      </c>
      <c r="B15" s="3" t="s">
        <v>117</v>
      </c>
      <c r="C15" s="1" t="s">
        <v>33</v>
      </c>
      <c r="D15" s="1" t="s">
        <v>62</v>
      </c>
      <c r="E15" s="11">
        <v>0.5</v>
      </c>
      <c r="F15" s="11">
        <v>0.5</v>
      </c>
      <c r="G15" s="11">
        <v>0.5</v>
      </c>
      <c r="H15" s="12">
        <f t="shared" si="0"/>
        <v>0.50000000000000011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9.05" customHeight="1">
      <c r="A16" s="1" t="s">
        <v>6</v>
      </c>
      <c r="B16" s="3" t="s">
        <v>117</v>
      </c>
      <c r="C16" s="1" t="s">
        <v>33</v>
      </c>
      <c r="D16" s="1" t="s">
        <v>78</v>
      </c>
      <c r="E16" s="11">
        <v>2</v>
      </c>
      <c r="F16" s="11">
        <v>1</v>
      </c>
      <c r="G16" s="11">
        <v>2</v>
      </c>
      <c r="H16" s="12">
        <f t="shared" si="0"/>
        <v>1.5874010519681994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9.05" customHeight="1">
      <c r="A17" s="1" t="s">
        <v>6</v>
      </c>
      <c r="B17" s="3" t="s">
        <v>117</v>
      </c>
      <c r="C17" s="1" t="s">
        <v>33</v>
      </c>
      <c r="D17" s="1" t="s">
        <v>92</v>
      </c>
      <c r="E17" s="11">
        <v>1</v>
      </c>
      <c r="F17" s="11">
        <v>0.5</v>
      </c>
      <c r="G17" s="11">
        <v>0.5</v>
      </c>
      <c r="H17" s="12">
        <f t="shared" si="0"/>
        <v>0.6299605249474366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9.05" customHeight="1">
      <c r="A18" s="1" t="s">
        <v>6</v>
      </c>
      <c r="B18" s="3" t="s">
        <v>117</v>
      </c>
      <c r="C18" s="1" t="s">
        <v>62</v>
      </c>
      <c r="D18" s="1" t="s">
        <v>78</v>
      </c>
      <c r="E18" s="11">
        <v>3</v>
      </c>
      <c r="F18" s="11">
        <v>3</v>
      </c>
      <c r="G18" s="11">
        <v>4</v>
      </c>
      <c r="H18" s="12">
        <f t="shared" si="0"/>
        <v>3.3019272488946263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9.05" customHeight="1">
      <c r="A19" s="1" t="s">
        <v>6</v>
      </c>
      <c r="B19" s="3" t="s">
        <v>117</v>
      </c>
      <c r="C19" s="1" t="s">
        <v>62</v>
      </c>
      <c r="D19" s="1" t="s">
        <v>92</v>
      </c>
      <c r="E19" s="11">
        <v>2</v>
      </c>
      <c r="F19" s="11">
        <v>2</v>
      </c>
      <c r="G19" s="11">
        <v>2</v>
      </c>
      <c r="H19" s="12">
        <f t="shared" si="0"/>
        <v>1.9999999999999998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9.05" customHeight="1">
      <c r="A20" s="1" t="s">
        <v>6</v>
      </c>
      <c r="B20" s="3" t="s">
        <v>117</v>
      </c>
      <c r="C20" s="1" t="s">
        <v>78</v>
      </c>
      <c r="D20" s="1" t="s">
        <v>92</v>
      </c>
      <c r="E20" s="11">
        <v>0.5</v>
      </c>
      <c r="F20" s="11">
        <v>0.5</v>
      </c>
      <c r="G20" s="11">
        <v>0.5</v>
      </c>
      <c r="H20" s="12">
        <f t="shared" si="0"/>
        <v>0.50000000000000011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9.05" customHeight="1">
      <c r="A21" s="1" t="s">
        <v>10</v>
      </c>
      <c r="B21" s="3" t="s">
        <v>11</v>
      </c>
      <c r="C21" s="1" t="s">
        <v>33</v>
      </c>
      <c r="D21" s="1" t="s">
        <v>62</v>
      </c>
      <c r="E21" s="11">
        <v>2</v>
      </c>
      <c r="F21" s="11">
        <v>2</v>
      </c>
      <c r="G21" s="11">
        <v>2</v>
      </c>
      <c r="H21" s="12">
        <f t="shared" si="0"/>
        <v>1.9999999999999998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 t="s">
        <v>10</v>
      </c>
      <c r="B22" s="3" t="s">
        <v>11</v>
      </c>
      <c r="C22" s="1" t="s">
        <v>33</v>
      </c>
      <c r="D22" s="1" t="s">
        <v>78</v>
      </c>
      <c r="E22" s="11">
        <v>1</v>
      </c>
      <c r="F22" s="11">
        <v>1</v>
      </c>
      <c r="G22" s="11">
        <v>1</v>
      </c>
      <c r="H22" s="12">
        <f t="shared" si="0"/>
        <v>1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 t="s">
        <v>10</v>
      </c>
      <c r="B23" s="3" t="s">
        <v>11</v>
      </c>
      <c r="C23" s="1" t="s">
        <v>33</v>
      </c>
      <c r="D23" s="1" t="s">
        <v>92</v>
      </c>
      <c r="E23" s="11">
        <v>4</v>
      </c>
      <c r="F23" s="11">
        <v>4</v>
      </c>
      <c r="G23" s="11">
        <v>3</v>
      </c>
      <c r="H23" s="12">
        <f t="shared" si="0"/>
        <v>3.6342411856642789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 t="s">
        <v>10</v>
      </c>
      <c r="B24" s="3" t="s">
        <v>11</v>
      </c>
      <c r="C24" s="1" t="s">
        <v>62</v>
      </c>
      <c r="D24" s="1" t="s">
        <v>78</v>
      </c>
      <c r="E24" s="11">
        <v>0.5</v>
      </c>
      <c r="F24" s="11">
        <v>0.5</v>
      </c>
      <c r="G24" s="11">
        <v>0.5</v>
      </c>
      <c r="H24" s="12">
        <f t="shared" si="0"/>
        <v>0.50000000000000011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1" t="s">
        <v>10</v>
      </c>
      <c r="B25" s="3" t="s">
        <v>11</v>
      </c>
      <c r="C25" s="1" t="s">
        <v>62</v>
      </c>
      <c r="D25" s="1" t="s">
        <v>92</v>
      </c>
      <c r="E25" s="11">
        <v>2</v>
      </c>
      <c r="F25" s="11">
        <v>3</v>
      </c>
      <c r="G25" s="11">
        <v>2</v>
      </c>
      <c r="H25" s="12">
        <f t="shared" si="0"/>
        <v>2.2894284851066637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 t="s">
        <v>10</v>
      </c>
      <c r="B26" s="3" t="s">
        <v>11</v>
      </c>
      <c r="C26" s="1" t="s">
        <v>78</v>
      </c>
      <c r="D26" s="1" t="s">
        <v>92</v>
      </c>
      <c r="E26" s="11">
        <v>4</v>
      </c>
      <c r="F26" s="11">
        <v>4</v>
      </c>
      <c r="G26" s="11">
        <v>4</v>
      </c>
      <c r="H26" s="12">
        <f t="shared" si="0"/>
        <v>3.9999999999999991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 t="s">
        <v>14</v>
      </c>
      <c r="B27" s="3" t="s">
        <v>118</v>
      </c>
      <c r="C27" s="1" t="s">
        <v>33</v>
      </c>
      <c r="D27" s="1" t="s">
        <v>62</v>
      </c>
      <c r="E27" s="11">
        <v>1</v>
      </c>
      <c r="F27" s="11">
        <v>1</v>
      </c>
      <c r="G27" s="11">
        <v>1</v>
      </c>
      <c r="H27" s="12">
        <f t="shared" si="0"/>
        <v>1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 t="s">
        <v>14</v>
      </c>
      <c r="B28" s="3" t="s">
        <v>118</v>
      </c>
      <c r="C28" s="1" t="s">
        <v>33</v>
      </c>
      <c r="D28" s="1" t="s">
        <v>78</v>
      </c>
      <c r="E28" s="11">
        <v>2</v>
      </c>
      <c r="F28" s="11">
        <v>2</v>
      </c>
      <c r="G28" s="11">
        <v>2</v>
      </c>
      <c r="H28" s="12">
        <f t="shared" si="0"/>
        <v>1.9999999999999998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ht="19.05" customHeight="1">
      <c r="A29" s="1" t="s">
        <v>14</v>
      </c>
      <c r="B29" s="3" t="s">
        <v>118</v>
      </c>
      <c r="C29" s="1" t="s">
        <v>33</v>
      </c>
      <c r="D29" s="1" t="s">
        <v>92</v>
      </c>
      <c r="E29" s="11">
        <v>4</v>
      </c>
      <c r="F29" s="11">
        <v>3</v>
      </c>
      <c r="G29" s="11">
        <v>4</v>
      </c>
      <c r="H29" s="12">
        <f t="shared" si="0"/>
        <v>3.6342411856642789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ht="19.05" customHeight="1">
      <c r="A30" s="1" t="s">
        <v>14</v>
      </c>
      <c r="B30" s="3" t="s">
        <v>118</v>
      </c>
      <c r="C30" s="1" t="s">
        <v>62</v>
      </c>
      <c r="D30" s="1" t="s">
        <v>78</v>
      </c>
      <c r="E30" s="11">
        <v>2</v>
      </c>
      <c r="F30" s="11">
        <v>2</v>
      </c>
      <c r="G30" s="11">
        <v>3</v>
      </c>
      <c r="H30" s="12">
        <f t="shared" si="0"/>
        <v>2.2894284851066637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ht="19.05" customHeight="1">
      <c r="A31" s="1" t="s">
        <v>14</v>
      </c>
      <c r="B31" s="3" t="s">
        <v>118</v>
      </c>
      <c r="C31" s="1" t="s">
        <v>62</v>
      </c>
      <c r="D31" s="1" t="s">
        <v>92</v>
      </c>
      <c r="E31" s="11">
        <v>4</v>
      </c>
      <c r="F31" s="11">
        <v>4</v>
      </c>
      <c r="G31" s="11">
        <v>4</v>
      </c>
      <c r="H31" s="12">
        <f t="shared" si="0"/>
        <v>3.9999999999999991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ht="19.05" customHeight="1">
      <c r="A32" s="1" t="s">
        <v>14</v>
      </c>
      <c r="B32" s="3" t="s">
        <v>118</v>
      </c>
      <c r="C32" s="1" t="s">
        <v>78</v>
      </c>
      <c r="D32" s="1" t="s">
        <v>92</v>
      </c>
      <c r="E32" s="11">
        <v>2</v>
      </c>
      <c r="F32" s="11">
        <v>2</v>
      </c>
      <c r="G32" s="11">
        <v>2</v>
      </c>
      <c r="H32" s="12">
        <f t="shared" si="0"/>
        <v>1.9999999999999998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 t="s">
        <v>18</v>
      </c>
      <c r="B33" s="3" t="s">
        <v>19</v>
      </c>
      <c r="C33" s="1" t="s">
        <v>33</v>
      </c>
      <c r="D33" s="1" t="s">
        <v>62</v>
      </c>
      <c r="E33" s="11">
        <v>1</v>
      </c>
      <c r="F33" s="11">
        <v>1</v>
      </c>
      <c r="G33" s="11">
        <v>1</v>
      </c>
      <c r="H33" s="12">
        <f t="shared" si="0"/>
        <v>1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 t="s">
        <v>18</v>
      </c>
      <c r="B34" s="3" t="s">
        <v>19</v>
      </c>
      <c r="C34" s="1" t="s">
        <v>33</v>
      </c>
      <c r="D34" s="1" t="s">
        <v>78</v>
      </c>
      <c r="E34" s="11">
        <v>2</v>
      </c>
      <c r="F34" s="11">
        <v>2</v>
      </c>
      <c r="G34" s="11">
        <v>2</v>
      </c>
      <c r="H34" s="12">
        <f t="shared" si="0"/>
        <v>1.9999999999999998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 t="s">
        <v>18</v>
      </c>
      <c r="B35" s="3" t="s">
        <v>19</v>
      </c>
      <c r="C35" s="1" t="s">
        <v>33</v>
      </c>
      <c r="D35" s="1" t="s">
        <v>92</v>
      </c>
      <c r="E35" s="11">
        <v>3</v>
      </c>
      <c r="F35" s="11">
        <v>3</v>
      </c>
      <c r="G35" s="11">
        <v>4</v>
      </c>
      <c r="H35" s="12">
        <f t="shared" si="0"/>
        <v>3.3019272488946263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 t="s">
        <v>18</v>
      </c>
      <c r="B36" s="3" t="s">
        <v>19</v>
      </c>
      <c r="C36" s="1" t="s">
        <v>62</v>
      </c>
      <c r="D36" s="1" t="s">
        <v>78</v>
      </c>
      <c r="E36" s="11">
        <v>2</v>
      </c>
      <c r="F36" s="11">
        <v>2</v>
      </c>
      <c r="G36" s="11">
        <v>2</v>
      </c>
      <c r="H36" s="12">
        <f t="shared" si="0"/>
        <v>1.9999999999999998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 t="s">
        <v>18</v>
      </c>
      <c r="B37" s="3" t="s">
        <v>19</v>
      </c>
      <c r="C37" s="1" t="s">
        <v>62</v>
      </c>
      <c r="D37" s="1" t="s">
        <v>92</v>
      </c>
      <c r="E37" s="11">
        <v>3</v>
      </c>
      <c r="F37" s="11">
        <v>4</v>
      </c>
      <c r="G37" s="11">
        <v>3</v>
      </c>
      <c r="H37" s="12">
        <f t="shared" si="0"/>
        <v>3.3019272488946263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 t="s">
        <v>18</v>
      </c>
      <c r="B38" s="3" t="s">
        <v>19</v>
      </c>
      <c r="C38" s="1" t="s">
        <v>78</v>
      </c>
      <c r="D38" s="1" t="s">
        <v>92</v>
      </c>
      <c r="E38" s="11">
        <v>2</v>
      </c>
      <c r="F38" s="11">
        <v>2</v>
      </c>
      <c r="G38" s="11">
        <v>2</v>
      </c>
      <c r="H38" s="12">
        <f t="shared" si="0"/>
        <v>1.9999999999999998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 t="s">
        <v>22</v>
      </c>
      <c r="B39" s="3" t="s">
        <v>119</v>
      </c>
      <c r="C39" s="1" t="s">
        <v>33</v>
      </c>
      <c r="D39" s="1" t="s">
        <v>62</v>
      </c>
      <c r="E39" s="11">
        <v>0.25</v>
      </c>
      <c r="F39" s="11">
        <v>0.25</v>
      </c>
      <c r="G39" s="11">
        <v>0.25</v>
      </c>
      <c r="H39" s="12">
        <f t="shared" si="0"/>
        <v>0.25000000000000006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 t="s">
        <v>22</v>
      </c>
      <c r="B40" s="3" t="s">
        <v>119</v>
      </c>
      <c r="C40" s="1" t="s">
        <v>33</v>
      </c>
      <c r="D40" s="1" t="s">
        <v>78</v>
      </c>
      <c r="E40" s="11">
        <v>0.5</v>
      </c>
      <c r="F40" s="11">
        <v>0.33333333333333331</v>
      </c>
      <c r="G40" s="11">
        <v>0.5</v>
      </c>
      <c r="H40" s="12">
        <f t="shared" si="0"/>
        <v>0.4367902323681494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 t="s">
        <v>22</v>
      </c>
      <c r="B41" s="3" t="s">
        <v>119</v>
      </c>
      <c r="C41" s="1" t="s">
        <v>33</v>
      </c>
      <c r="D41" s="1" t="s">
        <v>92</v>
      </c>
      <c r="E41" s="11">
        <v>0.25</v>
      </c>
      <c r="F41" s="11">
        <v>0.25</v>
      </c>
      <c r="G41" s="11">
        <v>0.2</v>
      </c>
      <c r="H41" s="12">
        <f t="shared" si="0"/>
        <v>0.23207944168063901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 t="s">
        <v>22</v>
      </c>
      <c r="B42" s="3" t="s">
        <v>119</v>
      </c>
      <c r="C42" s="1" t="s">
        <v>62</v>
      </c>
      <c r="D42" s="1" t="s">
        <v>78</v>
      </c>
      <c r="E42" s="11">
        <v>2</v>
      </c>
      <c r="F42" s="11">
        <v>2</v>
      </c>
      <c r="G42" s="11">
        <v>3</v>
      </c>
      <c r="H42" s="12">
        <f t="shared" si="0"/>
        <v>2.2894284851066637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 t="s">
        <v>22</v>
      </c>
      <c r="B43" s="3" t="s">
        <v>119</v>
      </c>
      <c r="C43" s="1" t="s">
        <v>62</v>
      </c>
      <c r="D43" s="1" t="s">
        <v>92</v>
      </c>
      <c r="E43" s="11">
        <v>1</v>
      </c>
      <c r="F43" s="11">
        <v>1</v>
      </c>
      <c r="G43" s="11">
        <v>1</v>
      </c>
      <c r="H43" s="12">
        <f t="shared" si="0"/>
        <v>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ht="19.05" customHeight="1">
      <c r="A44" s="1" t="s">
        <v>22</v>
      </c>
      <c r="B44" s="3" t="s">
        <v>119</v>
      </c>
      <c r="C44" s="1" t="s">
        <v>78</v>
      </c>
      <c r="D44" s="1" t="s">
        <v>92</v>
      </c>
      <c r="E44" s="11">
        <v>0.5</v>
      </c>
      <c r="F44" s="11">
        <v>0.5</v>
      </c>
      <c r="G44" s="11">
        <v>0.5</v>
      </c>
      <c r="H44" s="12">
        <f t="shared" si="0"/>
        <v>0.50000000000000011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">
    <mergeCell ref="A1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0"/>
  <sheetViews>
    <sheetView workbookViewId="0">
      <pane ySplit="3" topLeftCell="A4" activePane="bottomLeft" state="frozen"/>
      <selection pane="bottomLeft" activeCell="J16" sqref="J16"/>
    </sheetView>
  </sheetViews>
  <sheetFormatPr defaultRowHeight="13.8"/>
  <cols>
    <col min="1" max="1" width="17" customWidth="1"/>
    <col min="2" max="6" width="13" customWidth="1"/>
    <col min="7" max="7" width="14" customWidth="1"/>
    <col min="8" max="8" width="15" customWidth="1"/>
    <col min="9" max="9" width="14" customWidth="1"/>
  </cols>
  <sheetData>
    <row r="1" spans="1:17" ht="24" customHeight="1">
      <c r="A1" s="17" t="s">
        <v>162</v>
      </c>
      <c r="B1" s="17"/>
      <c r="C1" s="17"/>
      <c r="D1" s="17"/>
      <c r="E1" s="17"/>
      <c r="F1" s="17"/>
      <c r="G1" s="17"/>
      <c r="H1" s="17"/>
      <c r="I1" s="17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"/>
      <c r="K2" s="1"/>
      <c r="L2" s="1"/>
      <c r="M2" s="1"/>
      <c r="N2" s="1"/>
      <c r="O2" s="1"/>
      <c r="P2" s="1"/>
      <c r="Q2" s="1"/>
    </row>
    <row r="3" spans="1:17" ht="19.05" customHeight="1">
      <c r="A3" s="18" t="s">
        <v>163</v>
      </c>
      <c r="B3" s="18"/>
      <c r="C3" s="18"/>
      <c r="D3" s="18"/>
      <c r="E3" s="18"/>
      <c r="F3" s="18"/>
      <c r="G3" s="18"/>
      <c r="H3" s="18"/>
      <c r="I3" s="18"/>
      <c r="J3" s="1"/>
      <c r="K3" s="1"/>
      <c r="L3" s="1"/>
      <c r="M3" s="1"/>
      <c r="N3" s="1"/>
      <c r="O3" s="1"/>
      <c r="P3" s="1"/>
      <c r="Q3" s="1"/>
    </row>
    <row r="4" spans="1:17" ht="19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5.95" customHeight="1">
      <c r="A5" s="19" t="s">
        <v>164</v>
      </c>
      <c r="B5" s="19"/>
      <c r="C5" s="19"/>
      <c r="D5" s="19"/>
      <c r="E5" s="19"/>
      <c r="F5" s="19"/>
      <c r="G5" s="19"/>
      <c r="H5" s="19"/>
      <c r="I5" s="19"/>
      <c r="J5" s="1"/>
      <c r="K5" s="1"/>
      <c r="L5" s="1"/>
      <c r="M5" s="1"/>
      <c r="N5" s="1"/>
      <c r="O5" s="1"/>
      <c r="P5" s="1"/>
      <c r="Q5" s="1"/>
    </row>
    <row r="6" spans="1:17" ht="30" customHeight="1">
      <c r="A6" s="2" t="s">
        <v>165</v>
      </c>
      <c r="B6" s="2" t="s">
        <v>6</v>
      </c>
      <c r="C6" s="2" t="s">
        <v>10</v>
      </c>
      <c r="D6" s="2" t="s">
        <v>14</v>
      </c>
      <c r="E6" s="2" t="s">
        <v>18</v>
      </c>
      <c r="F6" s="2" t="s">
        <v>22</v>
      </c>
      <c r="G6" s="2" t="s">
        <v>166</v>
      </c>
      <c r="H6" s="2" t="s">
        <v>167</v>
      </c>
      <c r="I6" s="2" t="s">
        <v>168</v>
      </c>
      <c r="J6" s="1"/>
      <c r="K6" s="1"/>
      <c r="L6" s="1"/>
      <c r="M6" s="1"/>
      <c r="N6" s="1"/>
      <c r="O6" s="1"/>
      <c r="P6" s="1"/>
      <c r="Q6" s="1"/>
    </row>
    <row r="7" spans="1:17" ht="19.05" customHeight="1">
      <c r="A7" s="1" t="s">
        <v>6</v>
      </c>
      <c r="B7" s="8">
        <f>1</f>
        <v>1</v>
      </c>
      <c r="C7" s="8">
        <f>'МАИ суждения'!H5</f>
        <v>1</v>
      </c>
      <c r="D7" s="8">
        <f>'МАИ суждения'!H6</f>
        <v>1.9999999999999998</v>
      </c>
      <c r="E7" s="8">
        <f>'МАИ суждения'!H7</f>
        <v>3.3019272488946263</v>
      </c>
      <c r="F7" s="8">
        <f>'МАИ суждения'!H8</f>
        <v>3.3019272488946263</v>
      </c>
      <c r="G7" s="8">
        <f>(PRODUCT(B7:F7))^(1/5)</f>
        <v>1.85230713339317</v>
      </c>
      <c r="H7" s="8">
        <f>G7/SUM($G$7:$G$11)</f>
        <v>0.31776855953232963</v>
      </c>
      <c r="I7" s="8">
        <f>(B7*$H$7+C7*$H$8+D7*$H$9+E7*$H$10+F7*$H$11)/H7</f>
        <v>5.045214815256081</v>
      </c>
      <c r="J7" s="1"/>
      <c r="K7" s="1"/>
      <c r="L7" s="1"/>
      <c r="M7" s="1"/>
      <c r="N7" s="1"/>
      <c r="O7" s="1"/>
      <c r="P7" s="1"/>
      <c r="Q7" s="1"/>
    </row>
    <row r="8" spans="1:17" ht="19.05" customHeight="1">
      <c r="A8" s="1" t="s">
        <v>10</v>
      </c>
      <c r="B8" s="8">
        <f>1/'МАИ суждения'!H5</f>
        <v>1</v>
      </c>
      <c r="C8" s="8">
        <f>1</f>
        <v>1</v>
      </c>
      <c r="D8" s="8">
        <f>'МАИ суждения'!H9</f>
        <v>1.9999999999999998</v>
      </c>
      <c r="E8" s="8">
        <f>'МАИ суждения'!H10</f>
        <v>2.9999999999999996</v>
      </c>
      <c r="F8" s="8">
        <f>'МАИ суждения'!H11</f>
        <v>3.6342411856642789</v>
      </c>
      <c r="G8" s="8">
        <f>(PRODUCT(B8:F8))^(1/5)</f>
        <v>1.85230713339317</v>
      </c>
      <c r="H8" s="8">
        <f>G8/SUM($G$7:$G$11)</f>
        <v>0.31776855953232963</v>
      </c>
      <c r="I8" s="8">
        <f>(B8*$H$7+C8*$H$8+D8*$H$9+E8*$H$10+F8*$H$11)/H8</f>
        <v>5.0205359951133266</v>
      </c>
      <c r="J8" s="1"/>
      <c r="K8" s="1"/>
      <c r="L8" s="1"/>
      <c r="M8" s="1"/>
      <c r="N8" s="1"/>
      <c r="O8" s="1"/>
      <c r="P8" s="1"/>
      <c r="Q8" s="1"/>
    </row>
    <row r="9" spans="1:17" ht="19.05" customHeight="1">
      <c r="A9" s="1" t="s">
        <v>14</v>
      </c>
      <c r="B9" s="8">
        <f>1/'МАИ суждения'!H6</f>
        <v>0.5</v>
      </c>
      <c r="C9" s="8">
        <f>1/'МАИ суждения'!H9</f>
        <v>0.5</v>
      </c>
      <c r="D9" s="8">
        <f>1</f>
        <v>1</v>
      </c>
      <c r="E9" s="8">
        <f>'МАИ суждения'!H12</f>
        <v>1.9999999999999998</v>
      </c>
      <c r="F9" s="8">
        <f>'МАИ суждения'!H13</f>
        <v>2.6207413942088964</v>
      </c>
      <c r="G9" s="8">
        <f>(PRODUCT(B9:F9))^(1/5)</f>
        <v>1.0555500594442406</v>
      </c>
      <c r="H9" s="8">
        <f>G9/SUM($G$7:$G$11)</f>
        <v>0.18108261629885167</v>
      </c>
      <c r="I9" s="8">
        <f>(B9*$H$7+C9*$H$8+D9*$H$9+E9*$H$10+F9*$H$11)/H9</f>
        <v>5.0370681341554322</v>
      </c>
      <c r="J9" s="1"/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18</v>
      </c>
      <c r="B10" s="8">
        <f>1/'МАИ суждения'!H7</f>
        <v>0.30285343213868998</v>
      </c>
      <c r="C10" s="8">
        <f>1/'МАИ суждения'!H10</f>
        <v>0.33333333333333337</v>
      </c>
      <c r="D10" s="8">
        <f>1/'МАИ суждения'!H12</f>
        <v>0.5</v>
      </c>
      <c r="E10" s="8">
        <f>1</f>
        <v>1</v>
      </c>
      <c r="F10" s="8">
        <f>'МАИ суждения'!H14</f>
        <v>1.9999999999999998</v>
      </c>
      <c r="G10" s="8">
        <f>(PRODUCT(B10:F10))^(1/5)</f>
        <v>0.63215306652085712</v>
      </c>
      <c r="H10" s="8">
        <f>G10/SUM($G$7:$G$11)</f>
        <v>0.1084476573732653</v>
      </c>
      <c r="I10" s="8">
        <f>(B10*$H$7+C10*$H$8+D10*$H$9+E10*$H$10+F10*$H$11)/H10</f>
        <v>5.0809242491074107</v>
      </c>
      <c r="J10" s="1"/>
      <c r="K10" s="1"/>
      <c r="L10" s="1"/>
      <c r="M10" s="1"/>
      <c r="N10" s="1"/>
      <c r="O10" s="1"/>
      <c r="P10" s="1"/>
      <c r="Q10" s="1"/>
    </row>
    <row r="11" spans="1:17" ht="19.05" customHeight="1">
      <c r="A11" s="1" t="s">
        <v>22</v>
      </c>
      <c r="B11" s="8">
        <f>1/'МАИ суждения'!H8</f>
        <v>0.30285343213868998</v>
      </c>
      <c r="C11" s="8">
        <f>1/'МАИ суждения'!H11</f>
        <v>0.27516060407455223</v>
      </c>
      <c r="D11" s="8">
        <f>1/'МАИ суждения'!H13</f>
        <v>0.38157141418444401</v>
      </c>
      <c r="E11" s="8">
        <f>1/'МАИ суждения'!H14</f>
        <v>0.5</v>
      </c>
      <c r="F11" s="8">
        <f>1</f>
        <v>1</v>
      </c>
      <c r="G11" s="8">
        <f>(PRODUCT(B11:F11))^(1/5)</f>
        <v>0.4367902323681494</v>
      </c>
      <c r="H11" s="8">
        <f>G11/SUM($G$7:$G$11)</f>
        <v>7.4932607263223844E-2</v>
      </c>
      <c r="I11" s="8">
        <f>(B11*$H$7+C11*$H$8+D11*$H$9+E11*$H$10+F11*$H$11)/H11</f>
        <v>5.0969409388164193</v>
      </c>
      <c r="J11" s="1"/>
      <c r="K11" s="1"/>
      <c r="L11" s="1"/>
      <c r="M11" s="1"/>
      <c r="N11" s="1"/>
      <c r="O11" s="1"/>
      <c r="P11" s="1"/>
      <c r="Q11" s="1"/>
    </row>
    <row r="12" spans="1:17" ht="19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05" customHeight="1">
      <c r="A13" s="7" t="s">
        <v>169</v>
      </c>
      <c r="B13" s="10">
        <f>AVERAGE(I7:I11)</f>
        <v>5.0561368264897348</v>
      </c>
      <c r="C13" s="7" t="s">
        <v>170</v>
      </c>
      <c r="D13" s="10">
        <f>(B13-5)/(5-1)</f>
        <v>1.4034206622433709E-2</v>
      </c>
      <c r="E13" s="7" t="s">
        <v>171</v>
      </c>
      <c r="F13" s="10">
        <f>D13/1.12</f>
        <v>1.2530541627172953E-2</v>
      </c>
      <c r="G13" s="7" t="s">
        <v>172</v>
      </c>
      <c r="H13" s="7" t="str">
        <f>IF(F13&lt;=0.1,"OK","Пересмотреть")</f>
        <v>OK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9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9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9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9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5.95" customHeight="1">
      <c r="A18" s="19" t="s">
        <v>173</v>
      </c>
      <c r="B18" s="19"/>
      <c r="C18" s="19"/>
      <c r="D18" s="19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</row>
    <row r="19" spans="1:17" ht="30" customHeight="1">
      <c r="A19" s="2" t="s">
        <v>165</v>
      </c>
      <c r="B19" s="2" t="s">
        <v>33</v>
      </c>
      <c r="C19" s="2" t="s">
        <v>62</v>
      </c>
      <c r="D19" s="2" t="s">
        <v>78</v>
      </c>
      <c r="E19" s="2" t="s">
        <v>92</v>
      </c>
      <c r="F19" s="2" t="s">
        <v>166</v>
      </c>
      <c r="G19" s="2" t="s">
        <v>167</v>
      </c>
      <c r="H19" s="2" t="s">
        <v>168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9.05" customHeight="1">
      <c r="A20" s="1" t="s">
        <v>33</v>
      </c>
      <c r="B20" s="8">
        <f>1</f>
        <v>1</v>
      </c>
      <c r="C20" s="8">
        <f>'МАИ суждения'!H15</f>
        <v>0.50000000000000011</v>
      </c>
      <c r="D20" s="8">
        <f>'МАИ суждения'!H16</f>
        <v>1.5874010519681994</v>
      </c>
      <c r="E20" s="8">
        <f>'МАИ суждения'!H17</f>
        <v>0.6299605249474366</v>
      </c>
      <c r="F20" s="8">
        <f>(PRODUCT(B20:E20))^(1/4)</f>
        <v>0.84089641525371461</v>
      </c>
      <c r="G20" s="8">
        <f>F20/SUM($F$20:$F$23)</f>
        <v>0.19001263144278555</v>
      </c>
      <c r="H20" s="8">
        <f>(B20*$G$20+C20*$G$21+D20*$G$22+E20*$G$23)/G20</f>
        <v>4.0235450218161581</v>
      </c>
      <c r="I20" s="8"/>
      <c r="J20" s="1"/>
      <c r="K20" s="1"/>
      <c r="L20" s="1"/>
      <c r="M20" s="1"/>
      <c r="N20" s="1"/>
      <c r="O20" s="1"/>
      <c r="P20" s="1"/>
      <c r="Q20" s="1"/>
    </row>
    <row r="21" spans="1:17" ht="19.05" customHeight="1">
      <c r="A21" s="1" t="s">
        <v>62</v>
      </c>
      <c r="B21" s="8">
        <f>1/'МАИ суждения'!H15</f>
        <v>1.9999999999999996</v>
      </c>
      <c r="C21" s="8">
        <f>1</f>
        <v>1</v>
      </c>
      <c r="D21" s="8">
        <f>'МАИ суждения'!H18</f>
        <v>3.3019272488946263</v>
      </c>
      <c r="E21" s="8">
        <f>'МАИ суждения'!H19</f>
        <v>1.9999999999999998</v>
      </c>
      <c r="F21" s="8">
        <f>(PRODUCT(B21:E21))^(1/4)</f>
        <v>1.9063685859938728</v>
      </c>
      <c r="G21" s="8">
        <f>F21/SUM($F$20:$F$23)</f>
        <v>0.43077138272169346</v>
      </c>
      <c r="H21" s="8">
        <f>(B21*$G$20+C21*$G$21+D21*$G$22+E21*$G$23)/G21</f>
        <v>4.0223750420733859</v>
      </c>
      <c r="I21" s="8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 t="s">
        <v>78</v>
      </c>
      <c r="B22" s="8">
        <f>1/'МАИ суждения'!H16</f>
        <v>0.6299605249474366</v>
      </c>
      <c r="C22" s="8">
        <f>1/'МАИ суждения'!H18</f>
        <v>0.30285343213868998</v>
      </c>
      <c r="D22" s="8">
        <f>1</f>
        <v>1</v>
      </c>
      <c r="E22" s="8">
        <f>'МАИ суждения'!H20</f>
        <v>0.50000000000000011</v>
      </c>
      <c r="F22" s="8">
        <f>(PRODUCT(B22:E22))^(1/4)</f>
        <v>0.55574934571582391</v>
      </c>
      <c r="G22" s="8">
        <f>F22/SUM($F$20:$F$23)</f>
        <v>0.12557955258996875</v>
      </c>
      <c r="H22" s="8">
        <f>(B22*$G$20+C22*$G$21+D22*$G$22+E22*$G$23)/G22</f>
        <v>4.0019159777419384</v>
      </c>
      <c r="I22" s="8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 t="s">
        <v>92</v>
      </c>
      <c r="B23" s="8">
        <f>1/'МАИ суждения'!H17</f>
        <v>1.5874010519681994</v>
      </c>
      <c r="C23" s="8">
        <f>1/'МАИ суждения'!H19</f>
        <v>0.5</v>
      </c>
      <c r="D23" s="8">
        <f>1/'МАИ суждения'!H20</f>
        <v>1.9999999999999996</v>
      </c>
      <c r="E23" s="8">
        <f>1</f>
        <v>1</v>
      </c>
      <c r="F23" s="8">
        <f>(PRODUCT(B23:E23))^(1/4)</f>
        <v>1.1224620483093728</v>
      </c>
      <c r="G23" s="8">
        <f>F23/SUM($F$20:$F$23)</f>
        <v>0.2536364332455523</v>
      </c>
      <c r="H23" s="8">
        <f>(B23*$G$20+C23*$G$21+D23*$G$22+E23*$G$23)/G23</f>
        <v>4.0286305391963166</v>
      </c>
      <c r="I23" s="8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7" t="s">
        <v>169</v>
      </c>
      <c r="B25" s="10">
        <f>AVERAGE(H20:H23)</f>
        <v>4.0191166452069496</v>
      </c>
      <c r="C25" s="7" t="s">
        <v>170</v>
      </c>
      <c r="D25" s="10">
        <f>(B25-4)/(4-1)</f>
        <v>6.3722150689831851E-3</v>
      </c>
      <c r="E25" s="7" t="s">
        <v>171</v>
      </c>
      <c r="F25" s="10">
        <f>D25/0.9</f>
        <v>7.0802389655368718E-3</v>
      </c>
      <c r="G25" s="7" t="s">
        <v>172</v>
      </c>
      <c r="H25" s="7" t="str">
        <f>IF(F25&lt;=0.1,"OK","Пересмотреть")</f>
        <v>OK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9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9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5.95" customHeight="1">
      <c r="A31" s="19" t="s">
        <v>174</v>
      </c>
      <c r="B31" s="19"/>
      <c r="C31" s="19"/>
      <c r="D31" s="19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</row>
    <row r="32" spans="1:17" ht="30" customHeight="1">
      <c r="A32" s="2" t="s">
        <v>165</v>
      </c>
      <c r="B32" s="2" t="s">
        <v>33</v>
      </c>
      <c r="C32" s="2" t="s">
        <v>62</v>
      </c>
      <c r="D32" s="2" t="s">
        <v>78</v>
      </c>
      <c r="E32" s="2" t="s">
        <v>92</v>
      </c>
      <c r="F32" s="2" t="s">
        <v>166</v>
      </c>
      <c r="G32" s="2" t="s">
        <v>167</v>
      </c>
      <c r="H32" s="2" t="s">
        <v>168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 t="s">
        <v>33</v>
      </c>
      <c r="B33" s="8">
        <f>1</f>
        <v>1</v>
      </c>
      <c r="C33" s="8">
        <f>'МАИ суждения'!H21</f>
        <v>1.9999999999999998</v>
      </c>
      <c r="D33" s="8">
        <f>'МАИ суждения'!H22</f>
        <v>1</v>
      </c>
      <c r="E33" s="8">
        <f>'МАИ суждения'!H23</f>
        <v>3.6342411856642789</v>
      </c>
      <c r="F33" s="8">
        <f>(PRODUCT(B33:E33))^(1/4)</f>
        <v>1.6419538084838303</v>
      </c>
      <c r="G33" s="8">
        <f>F33/SUM($F$33:$F$36)</f>
        <v>0.35618123562386916</v>
      </c>
      <c r="H33" s="8">
        <f>(B33*$G$33+C33*$G$34+D33*$G$35+E33*$G$36)/G33</f>
        <v>4.005241692650352</v>
      </c>
      <c r="I33" s="8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 t="s">
        <v>62</v>
      </c>
      <c r="B34" s="8">
        <f>1/'МАИ суждения'!H21</f>
        <v>0.5</v>
      </c>
      <c r="C34" s="8">
        <f>1</f>
        <v>1</v>
      </c>
      <c r="D34" s="8">
        <f>'МАИ суждения'!H24</f>
        <v>0.50000000000000011</v>
      </c>
      <c r="E34" s="8">
        <f>'МАИ суждения'!H25</f>
        <v>2.2894284851066637</v>
      </c>
      <c r="F34" s="8">
        <f>(PRODUCT(B34:E34))^(1/4)</f>
        <v>0.86979473136565433</v>
      </c>
      <c r="G34" s="8">
        <f>F34/SUM($F$33:$F$36)</f>
        <v>0.18868043702339085</v>
      </c>
      <c r="H34" s="8">
        <f>(B34*$G$33+C34*$G$34+D34*$G$35+E34*$G$36)/G34</f>
        <v>4.0065227095440044</v>
      </c>
      <c r="I34" s="8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 t="s">
        <v>78</v>
      </c>
      <c r="B35" s="8">
        <f>1/'МАИ суждения'!H22</f>
        <v>1</v>
      </c>
      <c r="C35" s="8">
        <f>1/'МАИ суждения'!H24</f>
        <v>1.9999999999999996</v>
      </c>
      <c r="D35" s="8">
        <f>1</f>
        <v>1</v>
      </c>
      <c r="E35" s="8">
        <f>'МАИ суждения'!H26</f>
        <v>3.9999999999999991</v>
      </c>
      <c r="F35" s="8">
        <f>(PRODUCT(B35:E35))^(1/4)</f>
        <v>1.6817928305074288</v>
      </c>
      <c r="G35" s="8">
        <f>F35/SUM($F$33:$F$36)</f>
        <v>0.36482332532035988</v>
      </c>
      <c r="H35" s="8">
        <f>(B35*$G$33+C35*$G$34+D35*$G$35+E35*$G$36)/G35</f>
        <v>4.0009104183204292</v>
      </c>
      <c r="I35" s="8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 t="s">
        <v>92</v>
      </c>
      <c r="B36" s="8">
        <f>1/'МАИ суждения'!H23</f>
        <v>0.27516060407455223</v>
      </c>
      <c r="C36" s="8">
        <f>1/'МАИ суждения'!H25</f>
        <v>0.43679023236814946</v>
      </c>
      <c r="D36" s="8">
        <f>1/'МАИ суждения'!H26</f>
        <v>0.25000000000000006</v>
      </c>
      <c r="E36" s="8">
        <f>1</f>
        <v>1</v>
      </c>
      <c r="F36" s="8">
        <f>(PRODUCT(B36:E36))^(1/4)</f>
        <v>0.4163415888278022</v>
      </c>
      <c r="G36" s="8">
        <f>F36/SUM($F$33:$F$36)</f>
        <v>9.0315002032380146E-2</v>
      </c>
      <c r="H36" s="8">
        <f>(B36*$G$33+C36*$G$34+D36*$G$35+E36*$G$36)/G36</f>
        <v>4.0075473742198477</v>
      </c>
      <c r="I36" s="8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7" t="s">
        <v>169</v>
      </c>
      <c r="B38" s="10">
        <f>AVERAGE(H33:H36)</f>
        <v>4.0050555486836581</v>
      </c>
      <c r="C38" s="7" t="s">
        <v>170</v>
      </c>
      <c r="D38" s="10">
        <f>(B38-4)/(4-1)</f>
        <v>1.6851828945526985E-3</v>
      </c>
      <c r="E38" s="7" t="s">
        <v>171</v>
      </c>
      <c r="F38" s="10">
        <f>D38/0.9</f>
        <v>1.8724254383918873E-3</v>
      </c>
      <c r="G38" s="7" t="s">
        <v>172</v>
      </c>
      <c r="H38" s="7" t="str">
        <f>IF(F38&lt;=0.1,"OK","Пересмотреть")</f>
        <v>OK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5.95" customHeight="1">
      <c r="A44" s="19" t="s">
        <v>175</v>
      </c>
      <c r="B44" s="19"/>
      <c r="C44" s="19"/>
      <c r="D44" s="19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</row>
    <row r="45" spans="1:17" ht="30" customHeight="1">
      <c r="A45" s="2" t="s">
        <v>165</v>
      </c>
      <c r="B45" s="2" t="s">
        <v>33</v>
      </c>
      <c r="C45" s="2" t="s">
        <v>62</v>
      </c>
      <c r="D45" s="2" t="s">
        <v>78</v>
      </c>
      <c r="E45" s="2" t="s">
        <v>92</v>
      </c>
      <c r="F45" s="2" t="s">
        <v>166</v>
      </c>
      <c r="G45" s="2" t="s">
        <v>167</v>
      </c>
      <c r="H45" s="2" t="s">
        <v>168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 t="s">
        <v>33</v>
      </c>
      <c r="B46" s="8">
        <f>1</f>
        <v>1</v>
      </c>
      <c r="C46" s="8">
        <f>'МАИ суждения'!H27</f>
        <v>1</v>
      </c>
      <c r="D46" s="8">
        <f>'МАИ суждения'!H28</f>
        <v>1.9999999999999998</v>
      </c>
      <c r="E46" s="8">
        <f>'МАИ суждения'!H29</f>
        <v>3.6342411856642789</v>
      </c>
      <c r="F46" s="8">
        <f>(PRODUCT(B46:E46))^(1/4)</f>
        <v>1.6419538084838303</v>
      </c>
      <c r="G46" s="8">
        <f>F46/SUM($F$46:$F$49)</f>
        <v>0.35500544039742155</v>
      </c>
      <c r="H46" s="8">
        <f>(B46*$G$46+C46*$G$47+D46*$G$48+E46*$G$49)/G46</f>
        <v>4.0028801467673514</v>
      </c>
      <c r="I46" s="8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 t="s">
        <v>62</v>
      </c>
      <c r="B47" s="8">
        <f>1/'МАИ суждения'!H27</f>
        <v>1</v>
      </c>
      <c r="C47" s="8">
        <f>1</f>
        <v>1</v>
      </c>
      <c r="D47" s="8">
        <f>'МАИ суждения'!H30</f>
        <v>2.2894284851066637</v>
      </c>
      <c r="E47" s="8">
        <f>'МАИ суждения'!H31</f>
        <v>3.9999999999999991</v>
      </c>
      <c r="F47" s="8">
        <f>(PRODUCT(B47:E47))^(1/4)</f>
        <v>1.7395894627313087</v>
      </c>
      <c r="G47" s="8">
        <f>F47/SUM($F$46:$F$49)</f>
        <v>0.3761151623978366</v>
      </c>
      <c r="H47" s="8">
        <f>(B47*$G$46+C47*$G$47+D47*$G$48+E47*$G$49)/G47</f>
        <v>4.0040202660264761</v>
      </c>
      <c r="I47" s="8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 t="s">
        <v>78</v>
      </c>
      <c r="B48" s="8">
        <f>1/'МАИ суждения'!H28</f>
        <v>0.5</v>
      </c>
      <c r="C48" s="8">
        <f>1/'МАИ суждения'!H30</f>
        <v>0.43679023236814946</v>
      </c>
      <c r="D48" s="8">
        <f>1</f>
        <v>1</v>
      </c>
      <c r="E48" s="8">
        <f>'МАИ суждения'!H32</f>
        <v>1.9999999999999998</v>
      </c>
      <c r="F48" s="8">
        <f>(PRODUCT(B48:E48))^(1/4)</f>
        <v>0.81295822530027007</v>
      </c>
      <c r="G48" s="8">
        <f>F48/SUM($F$46:$F$49)</f>
        <v>0.1757690084253492</v>
      </c>
      <c r="H48" s="8">
        <f>(B48*$G$46+C48*$G$47+D48*$G$48+E48*$G$49)/G48</f>
        <v>4.0039819400965744</v>
      </c>
      <c r="I48" s="8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 t="s">
        <v>92</v>
      </c>
      <c r="B49" s="8">
        <f>1/'МАИ суждения'!H29</f>
        <v>0.27516060407455223</v>
      </c>
      <c r="C49" s="8">
        <f>1/'МАИ суждения'!H31</f>
        <v>0.25000000000000006</v>
      </c>
      <c r="D49" s="8">
        <f>1/'МАИ суждения'!H32</f>
        <v>0.5</v>
      </c>
      <c r="E49" s="8">
        <f>1</f>
        <v>1</v>
      </c>
      <c r="F49" s="8">
        <f>(PRODUCT(B49:E49))^(1/4)</f>
        <v>0.43064961848073269</v>
      </c>
      <c r="G49" s="8">
        <f>F49/SUM($F$46:$F$49)</f>
        <v>9.3110388779392775E-2</v>
      </c>
      <c r="H49" s="8">
        <f>(B49*$G$46+C49*$G$47+D49*$G$48+E49*$G$49)/G49</f>
        <v>4.0028529566565529</v>
      </c>
      <c r="I49" s="8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7" t="s">
        <v>169</v>
      </c>
      <c r="B51" s="10">
        <f>AVERAGE(H46:H49)</f>
        <v>4.0034338273867389</v>
      </c>
      <c r="C51" s="7" t="s">
        <v>170</v>
      </c>
      <c r="D51" s="10">
        <f>(B51-4)/(4-1)</f>
        <v>1.144609128912973E-3</v>
      </c>
      <c r="E51" s="7" t="s">
        <v>171</v>
      </c>
      <c r="F51" s="10">
        <f>D51/0.9</f>
        <v>1.2717879210144144E-3</v>
      </c>
      <c r="G51" s="7" t="s">
        <v>172</v>
      </c>
      <c r="H51" s="7" t="str">
        <f>IF(F51&lt;=0.1,"OK","Пересмотреть")</f>
        <v>OK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25.95" customHeight="1">
      <c r="A57" s="19" t="s">
        <v>176</v>
      </c>
      <c r="B57" s="19"/>
      <c r="C57" s="19"/>
      <c r="D57" s="19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</row>
    <row r="58" spans="1:17" ht="30" customHeight="1">
      <c r="A58" s="2" t="s">
        <v>165</v>
      </c>
      <c r="B58" s="2" t="s">
        <v>33</v>
      </c>
      <c r="C58" s="2" t="s">
        <v>62</v>
      </c>
      <c r="D58" s="2" t="s">
        <v>78</v>
      </c>
      <c r="E58" s="2" t="s">
        <v>92</v>
      </c>
      <c r="F58" s="2" t="s">
        <v>166</v>
      </c>
      <c r="G58" s="2" t="s">
        <v>167</v>
      </c>
      <c r="H58" s="2" t="s">
        <v>168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 t="s">
        <v>33</v>
      </c>
      <c r="B59" s="8">
        <f>1</f>
        <v>1</v>
      </c>
      <c r="C59" s="8">
        <f>'МАИ суждения'!H33</f>
        <v>1</v>
      </c>
      <c r="D59" s="8">
        <f>'МАИ суждения'!H34</f>
        <v>1.9999999999999998</v>
      </c>
      <c r="E59" s="8">
        <f>'МАИ суждения'!H35</f>
        <v>3.3019272488946263</v>
      </c>
      <c r="F59" s="8">
        <f>(PRODUCT(B59:E59))^(1/4)</f>
        <v>1.6030585101145405</v>
      </c>
      <c r="G59" s="8">
        <f>F59/SUM($F$59:$F$62)</f>
        <v>0.35546295618456941</v>
      </c>
      <c r="H59" s="8">
        <f>(B59*$G$59+C59*$G$60+D59*$G$61+E59*$G$62)/G59</f>
        <v>4.0022993564185851</v>
      </c>
      <c r="I59" s="8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 t="s">
        <v>62</v>
      </c>
      <c r="B60" s="8">
        <f>1/'МАИ суждения'!H33</f>
        <v>1</v>
      </c>
      <c r="C60" s="8">
        <f>1</f>
        <v>1</v>
      </c>
      <c r="D60" s="8">
        <f>'МАИ суждения'!H36</f>
        <v>1.9999999999999998</v>
      </c>
      <c r="E60" s="8">
        <f>'МАИ суждения'!H37</f>
        <v>3.3019272488946263</v>
      </c>
      <c r="F60" s="8">
        <f>(PRODUCT(B60:E60))^(1/4)</f>
        <v>1.6030585101145405</v>
      </c>
      <c r="G60" s="8">
        <f>F60/SUM($F$59:$F$62)</f>
        <v>0.35546295618456941</v>
      </c>
      <c r="H60" s="8">
        <f>(B60*$G$59+C60*$G$60+D60*$G$61+E60*$G$62)/G60</f>
        <v>4.0022993564185851</v>
      </c>
      <c r="I60" s="8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 t="s">
        <v>78</v>
      </c>
      <c r="B61" s="8">
        <f>1/'МАИ суждения'!H34</f>
        <v>0.5</v>
      </c>
      <c r="C61" s="8">
        <f>1/'МАИ суждения'!H36</f>
        <v>0.5</v>
      </c>
      <c r="D61" s="8">
        <f>1</f>
        <v>1</v>
      </c>
      <c r="E61" s="8">
        <f>'МАИ суждения'!H38</f>
        <v>1.9999999999999998</v>
      </c>
      <c r="F61" s="8">
        <f>(PRODUCT(B61:E61))^(1/4)</f>
        <v>0.8408964152537145</v>
      </c>
      <c r="G61" s="8">
        <f>F61/SUM($F$59:$F$62)</f>
        <v>0.18646077091081056</v>
      </c>
      <c r="H61" s="8">
        <f>(B61*$G$59+C61*$G$60+D61*$G$61+E61*$G$62)/G61</f>
        <v>4.0070110022920815</v>
      </c>
      <c r="I61" s="8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 t="s">
        <v>92</v>
      </c>
      <c r="B62" s="8">
        <f>1/'МАИ суждения'!H35</f>
        <v>0.30285343213868998</v>
      </c>
      <c r="C62" s="8">
        <f>1/'МАИ суждения'!H37</f>
        <v>0.30285343213868998</v>
      </c>
      <c r="D62" s="8">
        <f>1/'МАИ суждения'!H38</f>
        <v>0.5</v>
      </c>
      <c r="E62" s="8">
        <f>1</f>
        <v>1</v>
      </c>
      <c r="F62" s="8">
        <f>(PRODUCT(B62:E62))^(1/4)</f>
        <v>0.46276313117067525</v>
      </c>
      <c r="G62" s="8">
        <f>F62/SUM($F$59:$F$62)</f>
        <v>0.10261331672005067</v>
      </c>
      <c r="H62" s="8">
        <f>(B62*$G$59+C62*$G$60+D62*$G$61+E62*$G$62)/G62</f>
        <v>4.0067904232593659</v>
      </c>
      <c r="I62" s="8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7" t="s">
        <v>169</v>
      </c>
      <c r="B64" s="10">
        <f>AVERAGE(H59:H62)</f>
        <v>4.0046000345971544</v>
      </c>
      <c r="C64" s="7" t="s">
        <v>170</v>
      </c>
      <c r="D64" s="10">
        <f>(B64-4)/(4-1)</f>
        <v>1.5333448657181374E-3</v>
      </c>
      <c r="E64" s="7" t="s">
        <v>171</v>
      </c>
      <c r="F64" s="10">
        <f>D64/0.9</f>
        <v>1.7037165174645971E-3</v>
      </c>
      <c r="G64" s="7" t="s">
        <v>172</v>
      </c>
      <c r="H64" s="7" t="str">
        <f>IF(F64&lt;=0.1,"OK","Пересмотреть")</f>
        <v>OK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25.95" customHeight="1">
      <c r="A70" s="19" t="s">
        <v>177</v>
      </c>
      <c r="B70" s="19"/>
      <c r="C70" s="19"/>
      <c r="D70" s="19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</row>
    <row r="71" spans="1:17" ht="30" customHeight="1">
      <c r="A71" s="2" t="s">
        <v>165</v>
      </c>
      <c r="B71" s="2" t="s">
        <v>33</v>
      </c>
      <c r="C71" s="2" t="s">
        <v>62</v>
      </c>
      <c r="D71" s="2" t="s">
        <v>78</v>
      </c>
      <c r="E71" s="2" t="s">
        <v>92</v>
      </c>
      <c r="F71" s="2" t="s">
        <v>166</v>
      </c>
      <c r="G71" s="2" t="s">
        <v>167</v>
      </c>
      <c r="H71" s="2" t="s">
        <v>168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 t="s">
        <v>33</v>
      </c>
      <c r="B72" s="8">
        <f>1</f>
        <v>1</v>
      </c>
      <c r="C72" s="8">
        <f>'МАИ суждения'!H39</f>
        <v>0.25000000000000006</v>
      </c>
      <c r="D72" s="8">
        <f>'МАИ суждения'!H40</f>
        <v>0.4367902323681494</v>
      </c>
      <c r="E72" s="8">
        <f>'МАИ суждения'!H41</f>
        <v>0.23207944168063901</v>
      </c>
      <c r="F72" s="8">
        <f>(PRODUCT(B72:E72))^(1/4)</f>
        <v>0.39899035686128143</v>
      </c>
      <c r="G72" s="8">
        <f>F72/SUM($F$72:$F$75)</f>
        <v>8.5021175895957563E-2</v>
      </c>
      <c r="H72" s="8">
        <f>(B72*$G$72+C72*$G$73+D72*$G$74+E72*$G$75)/G72</f>
        <v>4.0071605743086058</v>
      </c>
      <c r="I72" s="8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 t="s">
        <v>62</v>
      </c>
      <c r="B73" s="8">
        <f>1/'МАИ суждения'!H39</f>
        <v>3.9999999999999991</v>
      </c>
      <c r="C73" s="8">
        <f>1</f>
        <v>1</v>
      </c>
      <c r="D73" s="8">
        <f>'МАИ суждения'!H42</f>
        <v>2.2894284851066637</v>
      </c>
      <c r="E73" s="8">
        <f>'МАИ суждения'!H43</f>
        <v>1</v>
      </c>
      <c r="F73" s="8">
        <f>(PRODUCT(B73:E73))^(1/4)</f>
        <v>1.7395894627313087</v>
      </c>
      <c r="G73" s="8">
        <f>F73/SUM($F$72:$F$75)</f>
        <v>0.37069051708699458</v>
      </c>
      <c r="H73" s="8">
        <f>(B73*$G$72+C73*$G$73+D73*$G$74+E73*$G$75)/G73</f>
        <v>4.0090389667888182</v>
      </c>
      <c r="I73" s="8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 t="s">
        <v>78</v>
      </c>
      <c r="B74" s="8">
        <f>1/'МАИ суждения'!H40</f>
        <v>2.2894284851066637</v>
      </c>
      <c r="C74" s="8">
        <f>1/'МАИ суждения'!H42</f>
        <v>0.43679023236814946</v>
      </c>
      <c r="D74" s="8">
        <f>1</f>
        <v>1</v>
      </c>
      <c r="E74" s="8">
        <f>'МАИ суждения'!H44</f>
        <v>0.50000000000000011</v>
      </c>
      <c r="F74" s="8">
        <f>(PRODUCT(B74:E74))^(1/4)</f>
        <v>0.84089641525371461</v>
      </c>
      <c r="G74" s="8">
        <f>F74/SUM($F$72:$F$75)</f>
        <v>0.17918729313155518</v>
      </c>
      <c r="H74" s="8">
        <f>(B74*$G$72+C74*$G$73+D74*$G$74+E74*$G$75)/G74</f>
        <v>4.0086642671448143</v>
      </c>
      <c r="I74" s="8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 t="s">
        <v>92</v>
      </c>
      <c r="B75" s="8">
        <f>1/'МАИ суждения'!H41</f>
        <v>4.3088693800637659</v>
      </c>
      <c r="C75" s="8">
        <f>1/'МАИ суждения'!H43</f>
        <v>1</v>
      </c>
      <c r="D75" s="8">
        <f>1/'МАИ суждения'!H44</f>
        <v>1.9999999999999996</v>
      </c>
      <c r="E75" s="8">
        <f>1</f>
        <v>1</v>
      </c>
      <c r="F75" s="8">
        <f>(PRODUCT(B75:E75))^(1/4)</f>
        <v>1.7133588460226707</v>
      </c>
      <c r="G75" s="8">
        <f>F75/SUM($F$72:$F$75)</f>
        <v>0.3651010138854926</v>
      </c>
      <c r="H75" s="8">
        <f>(B75*$G$72+C75*$G$73+D75*$G$74+E75*$G$75)/G75</f>
        <v>4.0002936260504818</v>
      </c>
      <c r="I75" s="8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7" t="s">
        <v>169</v>
      </c>
      <c r="B77" s="10">
        <f>AVERAGE(H72:H75)</f>
        <v>4.0062893585731807</v>
      </c>
      <c r="C77" s="7" t="s">
        <v>170</v>
      </c>
      <c r="D77" s="10">
        <f>(B77-4)/(4-1)</f>
        <v>2.0964528577268973E-3</v>
      </c>
      <c r="E77" s="7" t="s">
        <v>171</v>
      </c>
      <c r="F77" s="10">
        <f>D77/0.9</f>
        <v>2.3293920641409968E-3</v>
      </c>
      <c r="G77" s="7" t="s">
        <v>172</v>
      </c>
      <c r="H77" s="7" t="str">
        <f>IF(F77&lt;=0.1,"OK","Пересмотреть")</f>
        <v>OK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8">
    <mergeCell ref="A44:I44"/>
    <mergeCell ref="A57:I57"/>
    <mergeCell ref="A70:I70"/>
    <mergeCell ref="A1:I2"/>
    <mergeCell ref="A3:I3"/>
    <mergeCell ref="A5:I5"/>
    <mergeCell ref="A18:I18"/>
    <mergeCell ref="A31:I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60"/>
  <sheetViews>
    <sheetView workbookViewId="0">
      <pane ySplit="3" topLeftCell="A106" activePane="bottomLeft" state="frozen"/>
      <selection pane="bottomLeft" sqref="A1:I2"/>
    </sheetView>
  </sheetViews>
  <sheetFormatPr defaultRowHeight="13.8"/>
  <cols>
    <col min="1" max="1" width="18" customWidth="1"/>
    <col min="2" max="5" width="13" customWidth="1"/>
    <col min="6" max="7" width="14" customWidth="1"/>
    <col min="8" max="8" width="16" customWidth="1"/>
    <col min="9" max="9" width="14" customWidth="1"/>
  </cols>
  <sheetData>
    <row r="1" spans="1:17" ht="24" customHeight="1">
      <c r="A1" s="17" t="s">
        <v>178</v>
      </c>
      <c r="B1" s="17"/>
      <c r="C1" s="17"/>
      <c r="D1" s="17"/>
      <c r="E1" s="17"/>
      <c r="F1" s="17"/>
      <c r="G1" s="17"/>
      <c r="H1" s="17"/>
      <c r="I1" s="17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"/>
      <c r="K2" s="1"/>
      <c r="L2" s="1"/>
      <c r="M2" s="1"/>
      <c r="N2" s="1"/>
      <c r="O2" s="1"/>
      <c r="P2" s="1"/>
      <c r="Q2" s="1"/>
    </row>
    <row r="3" spans="1:17" ht="19.05" customHeight="1">
      <c r="A3" s="18" t="s">
        <v>179</v>
      </c>
      <c r="B3" s="18"/>
      <c r="C3" s="18"/>
      <c r="D3" s="18"/>
      <c r="E3" s="18"/>
      <c r="F3" s="18"/>
      <c r="G3" s="18"/>
      <c r="H3" s="18"/>
      <c r="I3" s="18"/>
      <c r="J3" s="1"/>
      <c r="K3" s="1"/>
      <c r="L3" s="1"/>
      <c r="M3" s="1"/>
      <c r="N3" s="1"/>
      <c r="O3" s="1"/>
      <c r="P3" s="1"/>
      <c r="Q3" s="1"/>
    </row>
    <row r="4" spans="1:17" ht="19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5.95" customHeight="1">
      <c r="A5" s="19" t="s">
        <v>180</v>
      </c>
      <c r="B5" s="19"/>
      <c r="C5" s="19"/>
      <c r="D5" s="19"/>
      <c r="E5" s="19"/>
      <c r="F5" s="19"/>
      <c r="G5" s="19"/>
      <c r="H5" s="19"/>
      <c r="I5" s="19"/>
      <c r="J5" s="1"/>
      <c r="K5" s="1"/>
      <c r="L5" s="1"/>
      <c r="M5" s="1"/>
      <c r="N5" s="1"/>
      <c r="O5" s="1"/>
      <c r="P5" s="1"/>
      <c r="Q5" s="1"/>
    </row>
    <row r="6" spans="1:17" ht="30" customHeight="1">
      <c r="A6" s="2" t="s">
        <v>165</v>
      </c>
      <c r="B6" s="2" t="s">
        <v>6</v>
      </c>
      <c r="C6" s="2" t="s">
        <v>10</v>
      </c>
      <c r="D6" s="2" t="s">
        <v>14</v>
      </c>
      <c r="E6" s="2" t="s">
        <v>18</v>
      </c>
      <c r="F6" s="2" t="s">
        <v>22</v>
      </c>
      <c r="G6" s="2" t="s">
        <v>166</v>
      </c>
      <c r="H6" s="2" t="s">
        <v>167</v>
      </c>
      <c r="I6" s="2" t="s">
        <v>168</v>
      </c>
      <c r="J6" s="1"/>
      <c r="K6" s="1"/>
      <c r="L6" s="1"/>
      <c r="M6" s="1"/>
      <c r="N6" s="1"/>
      <c r="O6" s="1"/>
      <c r="P6" s="1"/>
      <c r="Q6" s="1"/>
    </row>
    <row r="7" spans="1:17" ht="19.05" customHeight="1">
      <c r="A7" s="1" t="s">
        <v>6</v>
      </c>
      <c r="B7" s="8">
        <f>1</f>
        <v>1</v>
      </c>
      <c r="C7" s="8">
        <f>'МАИ суждения'!E5</f>
        <v>1</v>
      </c>
      <c r="D7" s="8">
        <f>'МАИ суждения'!E6</f>
        <v>2</v>
      </c>
      <c r="E7" s="8">
        <f>'МАИ суждения'!E7</f>
        <v>3</v>
      </c>
      <c r="F7" s="8">
        <f>'МАИ суждения'!E8</f>
        <v>4</v>
      </c>
      <c r="G7" s="8">
        <f>(PRODUCT(B7:F7))^(1/5)</f>
        <v>1.8881750225898042</v>
      </c>
      <c r="H7" s="8">
        <f>G7/SUM($G$7:$G$11)</f>
        <v>0.31967279014900268</v>
      </c>
      <c r="I7" s="8">
        <f>(B7*$H$7+C7*$H$8+D7*$H$9+E7*$H$10+F7*$H$11)/H7</f>
        <v>5.0228176109538376</v>
      </c>
      <c r="J7" s="1"/>
      <c r="K7" s="1"/>
      <c r="L7" s="1"/>
      <c r="M7" s="1"/>
      <c r="N7" s="1"/>
      <c r="O7" s="1"/>
      <c r="P7" s="1"/>
      <c r="Q7" s="1"/>
    </row>
    <row r="8" spans="1:17" ht="19.05" customHeight="1">
      <c r="A8" s="1" t="s">
        <v>10</v>
      </c>
      <c r="B8" s="8">
        <f>1/'МАИ суждения'!E5</f>
        <v>1</v>
      </c>
      <c r="C8" s="8">
        <f>1</f>
        <v>1</v>
      </c>
      <c r="D8" s="8">
        <f>'МАИ суждения'!E9</f>
        <v>2</v>
      </c>
      <c r="E8" s="8">
        <f>'МАИ суждения'!E10</f>
        <v>3</v>
      </c>
      <c r="F8" s="8">
        <f>'МАИ суждения'!E11</f>
        <v>4</v>
      </c>
      <c r="G8" s="8">
        <f>(PRODUCT(B8:F8))^(1/5)</f>
        <v>1.8881750225898042</v>
      </c>
      <c r="H8" s="8">
        <f>G8/SUM($G$7:$G$11)</f>
        <v>0.31967279014900268</v>
      </c>
      <c r="I8" s="8">
        <f>(B8*$H$7+C8*$H$8+D8*$H$9+E8*$H$10+F8*$H$11)/H8</f>
        <v>5.0228176109538376</v>
      </c>
      <c r="J8" s="1"/>
      <c r="K8" s="1"/>
      <c r="L8" s="1"/>
      <c r="M8" s="1"/>
      <c r="N8" s="1"/>
      <c r="O8" s="1"/>
      <c r="P8" s="1"/>
      <c r="Q8" s="1"/>
    </row>
    <row r="9" spans="1:17" ht="19.05" customHeight="1">
      <c r="A9" s="1" t="s">
        <v>14</v>
      </c>
      <c r="B9" s="8">
        <f>1/'МАИ суждения'!E6</f>
        <v>0.5</v>
      </c>
      <c r="C9" s="8">
        <f>1/'МАИ суждения'!E9</f>
        <v>0.5</v>
      </c>
      <c r="D9" s="8">
        <f>1</f>
        <v>1</v>
      </c>
      <c r="E9" s="8">
        <f>'МАИ суждения'!E12</f>
        <v>2</v>
      </c>
      <c r="F9" s="8">
        <f>'МАИ суждения'!E13</f>
        <v>3</v>
      </c>
      <c r="G9" s="8">
        <f>(PRODUCT(B9:F9))^(1/5)</f>
        <v>1.0844717711976986</v>
      </c>
      <c r="H9" s="8">
        <f>G9/SUM($G$7:$G$11)</f>
        <v>0.18360380409073584</v>
      </c>
      <c r="I9" s="8">
        <f>(B9*$H$7+C9*$H$8+D9*$H$9+E9*$H$10+F9*$H$11)/H9</f>
        <v>5.0398242826977109</v>
      </c>
      <c r="J9" s="1"/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18</v>
      </c>
      <c r="B10" s="8">
        <f>1/'МАИ суждения'!E7</f>
        <v>0.33333333333333331</v>
      </c>
      <c r="C10" s="8">
        <f>1/'МАИ суждения'!E10</f>
        <v>0.33333333333333331</v>
      </c>
      <c r="D10" s="8">
        <f>1/'МАИ суждения'!E12</f>
        <v>0.5</v>
      </c>
      <c r="E10" s="8">
        <f>1</f>
        <v>1</v>
      </c>
      <c r="F10" s="8">
        <f>'МАИ суждения'!E14</f>
        <v>2</v>
      </c>
      <c r="G10" s="8">
        <f>(PRODUCT(B10:F10))^(1/5)</f>
        <v>0.64439401497725424</v>
      </c>
      <c r="H10" s="8">
        <f>G10/SUM($G$7:$G$11)</f>
        <v>0.10909753082135142</v>
      </c>
      <c r="I10" s="8">
        <f>(B10*$H$7+C10*$H$8+D10*$H$9+E10*$H$10+F10*$H$11)/H10</f>
        <v>5.0406346664225152</v>
      </c>
      <c r="J10" s="1"/>
      <c r="K10" s="1"/>
      <c r="L10" s="1"/>
      <c r="M10" s="1"/>
      <c r="N10" s="1"/>
      <c r="O10" s="1"/>
      <c r="P10" s="1"/>
      <c r="Q10" s="1"/>
    </row>
    <row r="11" spans="1:17" ht="19.05" customHeight="1">
      <c r="A11" s="1" t="s">
        <v>22</v>
      </c>
      <c r="B11" s="8">
        <f>1/'МАИ суждения'!E8</f>
        <v>0.25</v>
      </c>
      <c r="C11" s="8">
        <f>1/'МАИ суждения'!E11</f>
        <v>0.25</v>
      </c>
      <c r="D11" s="8">
        <f>1/'МАИ суждения'!E13</f>
        <v>0.33333333333333331</v>
      </c>
      <c r="E11" s="8">
        <f>1/'МАИ суждения'!E14</f>
        <v>0.5</v>
      </c>
      <c r="F11" s="8">
        <f>1</f>
        <v>1</v>
      </c>
      <c r="G11" s="8">
        <f>(PRODUCT(B11:F11))^(1/5)</f>
        <v>0.40137078088011535</v>
      </c>
      <c r="H11" s="8">
        <f>G11/SUM($G$7:$G$11)</f>
        <v>6.7953084789907484E-2</v>
      </c>
      <c r="I11" s="8">
        <f>(B11*$H$7+C11*$H$8+D11*$H$9+E11*$H$10+F11*$H$11)/H11</f>
        <v>5.0555396324899871</v>
      </c>
      <c r="J11" s="1"/>
      <c r="K11" s="1"/>
      <c r="L11" s="1"/>
      <c r="M11" s="1"/>
      <c r="N11" s="1"/>
      <c r="O11" s="1"/>
      <c r="P11" s="1"/>
      <c r="Q11" s="1"/>
    </row>
    <row r="12" spans="1:17" ht="19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05" customHeight="1">
      <c r="A13" s="7" t="s">
        <v>169</v>
      </c>
      <c r="B13" s="10">
        <f>AVERAGE(I7:I11)</f>
        <v>5.0363267607035782</v>
      </c>
      <c r="C13" s="7" t="s">
        <v>170</v>
      </c>
      <c r="D13" s="10">
        <f>(B13-5)/(5-1)</f>
        <v>9.0816901758945523E-3</v>
      </c>
      <c r="E13" s="7" t="s">
        <v>171</v>
      </c>
      <c r="F13" s="10">
        <f>D13/1.12</f>
        <v>8.1086519427629924E-3</v>
      </c>
      <c r="G13" s="7" t="s">
        <v>172</v>
      </c>
      <c r="H13" s="7" t="str">
        <f>IF(F13&lt;=0.1,"OK","Пересмотреть")</f>
        <v>OK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9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9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9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9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5.95" customHeight="1">
      <c r="A18" s="19" t="s">
        <v>181</v>
      </c>
      <c r="B18" s="19"/>
      <c r="C18" s="19"/>
      <c r="D18" s="19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</row>
    <row r="19" spans="1:17" ht="30" customHeight="1">
      <c r="A19" s="2" t="s">
        <v>165</v>
      </c>
      <c r="B19" s="2" t="s">
        <v>33</v>
      </c>
      <c r="C19" s="2" t="s">
        <v>62</v>
      </c>
      <c r="D19" s="2" t="s">
        <v>78</v>
      </c>
      <c r="E19" s="2" t="s">
        <v>92</v>
      </c>
      <c r="F19" s="2" t="s">
        <v>166</v>
      </c>
      <c r="G19" s="2" t="s">
        <v>167</v>
      </c>
      <c r="H19" s="2" t="s">
        <v>168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9.05" customHeight="1">
      <c r="A20" s="1" t="s">
        <v>33</v>
      </c>
      <c r="B20" s="8">
        <f>1</f>
        <v>1</v>
      </c>
      <c r="C20" s="8">
        <f>'МАИ суждения'!E15</f>
        <v>0.5</v>
      </c>
      <c r="D20" s="8">
        <f>'МАИ суждения'!E16</f>
        <v>2</v>
      </c>
      <c r="E20" s="8">
        <f>'МАИ суждения'!E17</f>
        <v>1</v>
      </c>
      <c r="F20" s="8">
        <f>(PRODUCT(B20:E20))^(1/4)</f>
        <v>1</v>
      </c>
      <c r="G20" s="8">
        <f>F20/SUM($F$20:$F$23)</f>
        <v>0.22735050780241753</v>
      </c>
      <c r="H20" s="8">
        <f>(B20*$G$20+C20*$G$21+D20*$G$22+E20*$G$23)/G20</f>
        <v>4.0051747909256417</v>
      </c>
      <c r="I20" s="8"/>
      <c r="J20" s="1"/>
      <c r="K20" s="1"/>
      <c r="L20" s="1"/>
      <c r="M20" s="1"/>
      <c r="N20" s="1"/>
      <c r="O20" s="1"/>
      <c r="P20" s="1"/>
      <c r="Q20" s="1"/>
    </row>
    <row r="21" spans="1:17" ht="19.05" customHeight="1">
      <c r="A21" s="1" t="s">
        <v>62</v>
      </c>
      <c r="B21" s="8">
        <f>1/'МАИ суждения'!E15</f>
        <v>2</v>
      </c>
      <c r="C21" s="8">
        <f>1</f>
        <v>1</v>
      </c>
      <c r="D21" s="8">
        <f>'МАИ суждения'!E18</f>
        <v>3</v>
      </c>
      <c r="E21" s="8">
        <f>'МАИ суждения'!E19</f>
        <v>2</v>
      </c>
      <c r="F21" s="8">
        <f>(PRODUCT(B21:E21))^(1/4)</f>
        <v>1.8612097182041991</v>
      </c>
      <c r="G21" s="8">
        <f>F21/SUM($F$20:$F$23)</f>
        <v>0.42314697456051914</v>
      </c>
      <c r="H21" s="8">
        <f>(B21*$G$20+C21*$G$21+D21*$G$22+E21*$G$23)/G21</f>
        <v>4.0151652674315219</v>
      </c>
      <c r="I21" s="8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 t="s">
        <v>78</v>
      </c>
      <c r="B22" s="8">
        <f>1/'МАИ суждения'!E16</f>
        <v>0.5</v>
      </c>
      <c r="C22" s="8">
        <f>1/'МАИ суждения'!E18</f>
        <v>0.33333333333333331</v>
      </c>
      <c r="D22" s="8">
        <f>1</f>
        <v>1</v>
      </c>
      <c r="E22" s="8">
        <f>'МАИ суждения'!E20</f>
        <v>0.5</v>
      </c>
      <c r="F22" s="8">
        <f>(PRODUCT(B22:E22))^(1/4)</f>
        <v>0.537284965911771</v>
      </c>
      <c r="G22" s="8">
        <f>F22/SUM($F$20:$F$23)</f>
        <v>0.12215200983464573</v>
      </c>
      <c r="H22" s="8">
        <f>(B22*$G$20+C22*$G$21+D22*$G$22+E22*$G$23)/G22</f>
        <v>4.0159102565834504</v>
      </c>
      <c r="I22" s="8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 t="s">
        <v>92</v>
      </c>
      <c r="B23" s="8">
        <f>1/'МАИ суждения'!E17</f>
        <v>1</v>
      </c>
      <c r="C23" s="8">
        <f>1/'МАИ суждения'!E19</f>
        <v>0.5</v>
      </c>
      <c r="D23" s="8">
        <f>1/'МАИ суждения'!E20</f>
        <v>2</v>
      </c>
      <c r="E23" s="8">
        <f>1</f>
        <v>1</v>
      </c>
      <c r="F23" s="8">
        <f>(PRODUCT(B23:E23))^(1/4)</f>
        <v>1</v>
      </c>
      <c r="G23" s="8">
        <f>F23/SUM($F$20:$F$23)</f>
        <v>0.22735050780241753</v>
      </c>
      <c r="H23" s="8">
        <f>(B23*$G$20+C23*$G$21+D23*$G$22+E23*$G$23)/G23</f>
        <v>4.0051747909256417</v>
      </c>
      <c r="I23" s="8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7" t="s">
        <v>169</v>
      </c>
      <c r="B25" s="10">
        <f>AVERAGE(H20:H23)</f>
        <v>4.0103562764665632</v>
      </c>
      <c r="C25" s="7" t="s">
        <v>170</v>
      </c>
      <c r="D25" s="10">
        <f>(B25-4)/(4-1)</f>
        <v>3.4520921555210768E-3</v>
      </c>
      <c r="E25" s="7" t="s">
        <v>171</v>
      </c>
      <c r="F25" s="10">
        <f>D25/0.9</f>
        <v>3.8356579505789742E-3</v>
      </c>
      <c r="G25" s="7" t="s">
        <v>172</v>
      </c>
      <c r="H25" s="7" t="str">
        <f>IF(F25&lt;=0.1,"OK","Пересмотреть")</f>
        <v>OK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9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9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5.95" customHeight="1">
      <c r="A31" s="19" t="s">
        <v>182</v>
      </c>
      <c r="B31" s="19"/>
      <c r="C31" s="19"/>
      <c r="D31" s="19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</row>
    <row r="32" spans="1:17" ht="30" customHeight="1">
      <c r="A32" s="2" t="s">
        <v>165</v>
      </c>
      <c r="B32" s="2" t="s">
        <v>33</v>
      </c>
      <c r="C32" s="2" t="s">
        <v>62</v>
      </c>
      <c r="D32" s="2" t="s">
        <v>78</v>
      </c>
      <c r="E32" s="2" t="s">
        <v>92</v>
      </c>
      <c r="F32" s="2" t="s">
        <v>166</v>
      </c>
      <c r="G32" s="2" t="s">
        <v>167</v>
      </c>
      <c r="H32" s="2" t="s">
        <v>168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 t="s">
        <v>33</v>
      </c>
      <c r="B33" s="8">
        <f>1</f>
        <v>1</v>
      </c>
      <c r="C33" s="8">
        <f>'МАИ суждения'!E21</f>
        <v>2</v>
      </c>
      <c r="D33" s="8">
        <f>'МАИ суждения'!E22</f>
        <v>1</v>
      </c>
      <c r="E33" s="8">
        <f>'МАИ суждения'!E23</f>
        <v>4</v>
      </c>
      <c r="F33" s="8">
        <f>(PRODUCT(B33:E33))^(1/4)</f>
        <v>1.681792830507429</v>
      </c>
      <c r="G33" s="8">
        <f>F33/SUM($F$33:$F$36)</f>
        <v>0.36363636363636365</v>
      </c>
      <c r="H33" s="8">
        <f>(B33*$G$33+C33*$G$34+D33*$G$35+E33*$G$36)/G33</f>
        <v>4</v>
      </c>
      <c r="I33" s="8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 t="s">
        <v>62</v>
      </c>
      <c r="B34" s="8">
        <f>1/'МАИ суждения'!E21</f>
        <v>0.5</v>
      </c>
      <c r="C34" s="8">
        <f>1</f>
        <v>1</v>
      </c>
      <c r="D34" s="8">
        <f>'МАИ суждения'!E24</f>
        <v>0.5</v>
      </c>
      <c r="E34" s="8">
        <f>'МАИ суждения'!E25</f>
        <v>2</v>
      </c>
      <c r="F34" s="8">
        <f>(PRODUCT(B34:E34))^(1/4)</f>
        <v>0.8408964152537145</v>
      </c>
      <c r="G34" s="8">
        <f>F34/SUM($F$33:$F$36)</f>
        <v>0.18181818181818182</v>
      </c>
      <c r="H34" s="8">
        <f>(B34*$G$33+C34*$G$34+D34*$G$35+E34*$G$36)/G34</f>
        <v>4</v>
      </c>
      <c r="I34" s="8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 t="s">
        <v>78</v>
      </c>
      <c r="B35" s="8">
        <f>1/'МАИ суждения'!E22</f>
        <v>1</v>
      </c>
      <c r="C35" s="8">
        <f>1/'МАИ суждения'!E24</f>
        <v>2</v>
      </c>
      <c r="D35" s="8">
        <f>1</f>
        <v>1</v>
      </c>
      <c r="E35" s="8">
        <f>'МАИ суждения'!E26</f>
        <v>4</v>
      </c>
      <c r="F35" s="8">
        <f>(PRODUCT(B35:E35))^(1/4)</f>
        <v>1.681792830507429</v>
      </c>
      <c r="G35" s="8">
        <f>F35/SUM($F$33:$F$36)</f>
        <v>0.36363636363636365</v>
      </c>
      <c r="H35" s="8">
        <f>(B35*$G$33+C35*$G$34+D35*$G$35+E35*$G$36)/G35</f>
        <v>4</v>
      </c>
      <c r="I35" s="8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 t="s">
        <v>92</v>
      </c>
      <c r="B36" s="8">
        <f>1/'МАИ суждения'!E23</f>
        <v>0.25</v>
      </c>
      <c r="C36" s="8">
        <f>1/'МАИ суждения'!E25</f>
        <v>0.5</v>
      </c>
      <c r="D36" s="8">
        <f>1/'МАИ суждения'!E26</f>
        <v>0.25</v>
      </c>
      <c r="E36" s="8">
        <f>1</f>
        <v>1</v>
      </c>
      <c r="F36" s="8">
        <f>(PRODUCT(B36:E36))^(1/4)</f>
        <v>0.42044820762685725</v>
      </c>
      <c r="G36" s="8">
        <f>F36/SUM($F$33:$F$36)</f>
        <v>9.0909090909090912E-2</v>
      </c>
      <c r="H36" s="8">
        <f>(B36*$G$33+C36*$G$34+D36*$G$35+E36*$G$36)/G36</f>
        <v>4</v>
      </c>
      <c r="I36" s="8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7" t="s">
        <v>169</v>
      </c>
      <c r="B38" s="10">
        <f>AVERAGE(H33:H36)</f>
        <v>4</v>
      </c>
      <c r="C38" s="7" t="s">
        <v>170</v>
      </c>
      <c r="D38" s="10">
        <f>(B38-4)/(4-1)</f>
        <v>0</v>
      </c>
      <c r="E38" s="7" t="s">
        <v>171</v>
      </c>
      <c r="F38" s="10">
        <f>D38/0.9</f>
        <v>0</v>
      </c>
      <c r="G38" s="7" t="s">
        <v>172</v>
      </c>
      <c r="H38" s="7" t="str">
        <f>IF(F38&lt;=0.1,"OK","Пересмотреть")</f>
        <v>OK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5.95" customHeight="1">
      <c r="A44" s="19" t="s">
        <v>183</v>
      </c>
      <c r="B44" s="19"/>
      <c r="C44" s="19"/>
      <c r="D44" s="19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</row>
    <row r="45" spans="1:17" ht="30" customHeight="1">
      <c r="A45" s="2" t="s">
        <v>165</v>
      </c>
      <c r="B45" s="2" t="s">
        <v>33</v>
      </c>
      <c r="C45" s="2" t="s">
        <v>62</v>
      </c>
      <c r="D45" s="2" t="s">
        <v>78</v>
      </c>
      <c r="E45" s="2" t="s">
        <v>92</v>
      </c>
      <c r="F45" s="2" t="s">
        <v>166</v>
      </c>
      <c r="G45" s="2" t="s">
        <v>167</v>
      </c>
      <c r="H45" s="2" t="s">
        <v>168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 t="s">
        <v>33</v>
      </c>
      <c r="B46" s="8">
        <f>1</f>
        <v>1</v>
      </c>
      <c r="C46" s="8">
        <f>'МАИ суждения'!E27</f>
        <v>1</v>
      </c>
      <c r="D46" s="8">
        <f>'МАИ суждения'!E28</f>
        <v>2</v>
      </c>
      <c r="E46" s="8">
        <f>'МАИ суждения'!E29</f>
        <v>4</v>
      </c>
      <c r="F46" s="8">
        <f>(PRODUCT(B46:E46))^(1/4)</f>
        <v>1.681792830507429</v>
      </c>
      <c r="G46" s="8">
        <f>F46/SUM($F$46:$F$49)</f>
        <v>0.36363636363636365</v>
      </c>
      <c r="H46" s="8">
        <f>(B46*$G$46+C46*$G$47+D46*$G$48+E46*$G$49)/G46</f>
        <v>4</v>
      </c>
      <c r="I46" s="8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 t="s">
        <v>62</v>
      </c>
      <c r="B47" s="8">
        <f>1/'МАИ суждения'!E27</f>
        <v>1</v>
      </c>
      <c r="C47" s="8">
        <f>1</f>
        <v>1</v>
      </c>
      <c r="D47" s="8">
        <f>'МАИ суждения'!E30</f>
        <v>2</v>
      </c>
      <c r="E47" s="8">
        <f>'МАИ суждения'!E31</f>
        <v>4</v>
      </c>
      <c r="F47" s="8">
        <f>(PRODUCT(B47:E47))^(1/4)</f>
        <v>1.681792830507429</v>
      </c>
      <c r="G47" s="8">
        <f>F47/SUM($F$46:$F$49)</f>
        <v>0.36363636363636365</v>
      </c>
      <c r="H47" s="8">
        <f>(B47*$G$46+C47*$G$47+D47*$G$48+E47*$G$49)/G47</f>
        <v>4</v>
      </c>
      <c r="I47" s="8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 t="s">
        <v>78</v>
      </c>
      <c r="B48" s="8">
        <f>1/'МАИ суждения'!E28</f>
        <v>0.5</v>
      </c>
      <c r="C48" s="8">
        <f>1/'МАИ суждения'!E30</f>
        <v>0.5</v>
      </c>
      <c r="D48" s="8">
        <f>1</f>
        <v>1</v>
      </c>
      <c r="E48" s="8">
        <f>'МАИ суждения'!E32</f>
        <v>2</v>
      </c>
      <c r="F48" s="8">
        <f>(PRODUCT(B48:E48))^(1/4)</f>
        <v>0.8408964152537145</v>
      </c>
      <c r="G48" s="8">
        <f>F48/SUM($F$46:$F$49)</f>
        <v>0.18181818181818182</v>
      </c>
      <c r="H48" s="8">
        <f>(B48*$G$46+C48*$G$47+D48*$G$48+E48*$G$49)/G48</f>
        <v>4</v>
      </c>
      <c r="I48" s="8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 t="s">
        <v>92</v>
      </c>
      <c r="B49" s="8">
        <f>1/'МАИ суждения'!E29</f>
        <v>0.25</v>
      </c>
      <c r="C49" s="8">
        <f>1/'МАИ суждения'!E31</f>
        <v>0.25</v>
      </c>
      <c r="D49" s="8">
        <f>1/'МАИ суждения'!E32</f>
        <v>0.5</v>
      </c>
      <c r="E49" s="8">
        <f>1</f>
        <v>1</v>
      </c>
      <c r="F49" s="8">
        <f>(PRODUCT(B49:E49))^(1/4)</f>
        <v>0.42044820762685725</v>
      </c>
      <c r="G49" s="8">
        <f>F49/SUM($F$46:$F$49)</f>
        <v>9.0909090909090912E-2</v>
      </c>
      <c r="H49" s="8">
        <f>(B49*$G$46+C49*$G$47+D49*$G$48+E49*$G$49)/G49</f>
        <v>4</v>
      </c>
      <c r="I49" s="8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7" t="s">
        <v>169</v>
      </c>
      <c r="B51" s="10">
        <f>AVERAGE(H46:H49)</f>
        <v>4</v>
      </c>
      <c r="C51" s="7" t="s">
        <v>170</v>
      </c>
      <c r="D51" s="10">
        <f>(B51-4)/(4-1)</f>
        <v>0</v>
      </c>
      <c r="E51" s="7" t="s">
        <v>171</v>
      </c>
      <c r="F51" s="10">
        <f>D51/0.9</f>
        <v>0</v>
      </c>
      <c r="G51" s="7" t="s">
        <v>172</v>
      </c>
      <c r="H51" s="7" t="str">
        <f>IF(F51&lt;=0.1,"OK","Пересмотреть")</f>
        <v>OK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25.95" customHeight="1">
      <c r="A57" s="19" t="s">
        <v>184</v>
      </c>
      <c r="B57" s="19"/>
      <c r="C57" s="19"/>
      <c r="D57" s="19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</row>
    <row r="58" spans="1:17" ht="30" customHeight="1">
      <c r="A58" s="2" t="s">
        <v>165</v>
      </c>
      <c r="B58" s="2" t="s">
        <v>33</v>
      </c>
      <c r="C58" s="2" t="s">
        <v>62</v>
      </c>
      <c r="D58" s="2" t="s">
        <v>78</v>
      </c>
      <c r="E58" s="2" t="s">
        <v>92</v>
      </c>
      <c r="F58" s="2" t="s">
        <v>166</v>
      </c>
      <c r="G58" s="2" t="s">
        <v>167</v>
      </c>
      <c r="H58" s="2" t="s">
        <v>168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 t="s">
        <v>33</v>
      </c>
      <c r="B59" s="8">
        <f>1</f>
        <v>1</v>
      </c>
      <c r="C59" s="8">
        <f>'МАИ суждения'!E33</f>
        <v>1</v>
      </c>
      <c r="D59" s="8">
        <f>'МАИ суждения'!E34</f>
        <v>2</v>
      </c>
      <c r="E59" s="8">
        <f>'МАИ суждения'!E35</f>
        <v>3</v>
      </c>
      <c r="F59" s="8">
        <f>(PRODUCT(B59:E59))^(1/4)</f>
        <v>1.5650845800732873</v>
      </c>
      <c r="G59" s="8">
        <f>F59/SUM($F$59:$F$62)</f>
        <v>0.3511869046381858</v>
      </c>
      <c r="H59" s="8">
        <f>(B59*$G$59+C59*$G$60+D59*$G$61+E59*$G$62)/G59</f>
        <v>4.0051747909256417</v>
      </c>
      <c r="I59" s="8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 t="s">
        <v>62</v>
      </c>
      <c r="B60" s="8">
        <f>1/'МАИ суждения'!E33</f>
        <v>1</v>
      </c>
      <c r="C60" s="8">
        <f>1</f>
        <v>1</v>
      </c>
      <c r="D60" s="8">
        <f>'МАИ суждения'!E36</f>
        <v>2</v>
      </c>
      <c r="E60" s="8">
        <f>'МАИ суждения'!E37</f>
        <v>3</v>
      </c>
      <c r="F60" s="8">
        <f>(PRODUCT(B60:E60))^(1/4)</f>
        <v>1.5650845800732873</v>
      </c>
      <c r="G60" s="8">
        <f>F60/SUM($F$59:$F$62)</f>
        <v>0.3511869046381858</v>
      </c>
      <c r="H60" s="8">
        <f>(B60*$G$59+C60*$G$60+D60*$G$61+E60*$G$62)/G60</f>
        <v>4.0051747909256417</v>
      </c>
      <c r="I60" s="8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 t="s">
        <v>78</v>
      </c>
      <c r="B61" s="8">
        <f>1/'МАИ суждения'!E34</f>
        <v>0.5</v>
      </c>
      <c r="C61" s="8">
        <f>1/'МАИ суждения'!E36</f>
        <v>0.5</v>
      </c>
      <c r="D61" s="8">
        <f>1</f>
        <v>1</v>
      </c>
      <c r="E61" s="8">
        <f>'МАИ суждения'!E38</f>
        <v>2</v>
      </c>
      <c r="F61" s="8">
        <f>(PRODUCT(B61:E61))^(1/4)</f>
        <v>0.8408964152537145</v>
      </c>
      <c r="G61" s="8">
        <f>F61/SUM($F$59:$F$62)</f>
        <v>0.18868744408718802</v>
      </c>
      <c r="H61" s="8">
        <f>(B61*$G$59+C61*$G$60+D61*$G$61+E61*$G$62)/G61</f>
        <v>4.0159102565834504</v>
      </c>
      <c r="I61" s="8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 t="s">
        <v>92</v>
      </c>
      <c r="B62" s="8">
        <f>1/'МАИ суждения'!E35</f>
        <v>0.33333333333333331</v>
      </c>
      <c r="C62" s="8">
        <f>1/'МАИ суждения'!E37</f>
        <v>0.33333333333333331</v>
      </c>
      <c r="D62" s="8">
        <f>1/'МАИ суждения'!E38</f>
        <v>0.5</v>
      </c>
      <c r="E62" s="8">
        <f>1</f>
        <v>1</v>
      </c>
      <c r="F62" s="8">
        <f>(PRODUCT(B62:E62))^(1/4)</f>
        <v>0.48549177170732338</v>
      </c>
      <c r="G62" s="8">
        <f>F62/SUM($F$59:$F$62)</f>
        <v>0.10893874663644046</v>
      </c>
      <c r="H62" s="8">
        <f>(B62*$G$59+C62*$G$60+D62*$G$61+E62*$G$62)/G62</f>
        <v>4.0151652674315228</v>
      </c>
      <c r="I62" s="8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7" t="s">
        <v>169</v>
      </c>
      <c r="B64" s="10">
        <f>AVERAGE(H59:H62)</f>
        <v>4.0103562764665641</v>
      </c>
      <c r="C64" s="7" t="s">
        <v>170</v>
      </c>
      <c r="D64" s="10">
        <f>(B64-4)/(4-1)</f>
        <v>3.4520921555213726E-3</v>
      </c>
      <c r="E64" s="7" t="s">
        <v>171</v>
      </c>
      <c r="F64" s="10">
        <f>D64/0.9</f>
        <v>3.8356579505793029E-3</v>
      </c>
      <c r="G64" s="7" t="s">
        <v>172</v>
      </c>
      <c r="H64" s="7" t="str">
        <f>IF(F64&lt;=0.1,"OK","Пересмотреть")</f>
        <v>OK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25.95" customHeight="1">
      <c r="A70" s="19" t="s">
        <v>185</v>
      </c>
      <c r="B70" s="19"/>
      <c r="C70" s="19"/>
      <c r="D70" s="19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</row>
    <row r="71" spans="1:17" ht="30" customHeight="1">
      <c r="A71" s="2" t="s">
        <v>165</v>
      </c>
      <c r="B71" s="2" t="s">
        <v>33</v>
      </c>
      <c r="C71" s="2" t="s">
        <v>62</v>
      </c>
      <c r="D71" s="2" t="s">
        <v>78</v>
      </c>
      <c r="E71" s="2" t="s">
        <v>92</v>
      </c>
      <c r="F71" s="2" t="s">
        <v>166</v>
      </c>
      <c r="G71" s="2" t="s">
        <v>167</v>
      </c>
      <c r="H71" s="2" t="s">
        <v>168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 t="s">
        <v>33</v>
      </c>
      <c r="B72" s="8">
        <f>1</f>
        <v>1</v>
      </c>
      <c r="C72" s="8">
        <f>'МАИ суждения'!E39</f>
        <v>0.25</v>
      </c>
      <c r="D72" s="8">
        <f>'МАИ суждения'!E40</f>
        <v>0.5</v>
      </c>
      <c r="E72" s="8">
        <f>'МАИ суждения'!E41</f>
        <v>0.25</v>
      </c>
      <c r="F72" s="8">
        <f>(PRODUCT(B72:E72))^(1/4)</f>
        <v>0.42044820762685725</v>
      </c>
      <c r="G72" s="8">
        <f>F72/SUM($F$72:$F$75)</f>
        <v>9.0909090909090912E-2</v>
      </c>
      <c r="H72" s="8">
        <f>(B72*$G$72+C72*$G$73+D72*$G$74+E72*$G$75)/G72</f>
        <v>4</v>
      </c>
      <c r="I72" s="8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 t="s">
        <v>62</v>
      </c>
      <c r="B73" s="8">
        <f>1/'МАИ суждения'!E39</f>
        <v>4</v>
      </c>
      <c r="C73" s="8">
        <f>1</f>
        <v>1</v>
      </c>
      <c r="D73" s="8">
        <f>'МАИ суждения'!E42</f>
        <v>2</v>
      </c>
      <c r="E73" s="8">
        <f>'МАИ суждения'!E43</f>
        <v>1</v>
      </c>
      <c r="F73" s="8">
        <f>(PRODUCT(B73:E73))^(1/4)</f>
        <v>1.681792830507429</v>
      </c>
      <c r="G73" s="8">
        <f>F73/SUM($F$72:$F$75)</f>
        <v>0.36363636363636365</v>
      </c>
      <c r="H73" s="8">
        <f>(B73*$G$72+C73*$G$73+D73*$G$74+E73*$G$75)/G73</f>
        <v>4</v>
      </c>
      <c r="I73" s="8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 t="s">
        <v>78</v>
      </c>
      <c r="B74" s="8">
        <f>1/'МАИ суждения'!E40</f>
        <v>2</v>
      </c>
      <c r="C74" s="8">
        <f>1/'МАИ суждения'!E42</f>
        <v>0.5</v>
      </c>
      <c r="D74" s="8">
        <f>1</f>
        <v>1</v>
      </c>
      <c r="E74" s="8">
        <f>'МАИ суждения'!E44</f>
        <v>0.5</v>
      </c>
      <c r="F74" s="8">
        <f>(PRODUCT(B74:E74))^(1/4)</f>
        <v>0.8408964152537145</v>
      </c>
      <c r="G74" s="8">
        <f>F74/SUM($F$72:$F$75)</f>
        <v>0.18181818181818182</v>
      </c>
      <c r="H74" s="8">
        <f>(B74*$G$72+C74*$G$73+D74*$G$74+E74*$G$75)/G74</f>
        <v>4</v>
      </c>
      <c r="I74" s="8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 t="s">
        <v>92</v>
      </c>
      <c r="B75" s="8">
        <f>1/'МАИ суждения'!E41</f>
        <v>4</v>
      </c>
      <c r="C75" s="8">
        <f>1/'МАИ суждения'!E43</f>
        <v>1</v>
      </c>
      <c r="D75" s="8">
        <f>1/'МАИ суждения'!E44</f>
        <v>2</v>
      </c>
      <c r="E75" s="8">
        <f>1</f>
        <v>1</v>
      </c>
      <c r="F75" s="8">
        <f>(PRODUCT(B75:E75))^(1/4)</f>
        <v>1.681792830507429</v>
      </c>
      <c r="G75" s="8">
        <f>F75/SUM($F$72:$F$75)</f>
        <v>0.36363636363636365</v>
      </c>
      <c r="H75" s="8">
        <f>(B75*$G$72+C75*$G$73+D75*$G$74+E75*$G$75)/G75</f>
        <v>4</v>
      </c>
      <c r="I75" s="8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7" t="s">
        <v>169</v>
      </c>
      <c r="B77" s="10">
        <f>AVERAGE(H72:H75)</f>
        <v>4</v>
      </c>
      <c r="C77" s="7" t="s">
        <v>170</v>
      </c>
      <c r="D77" s="10">
        <f>(B77-4)/(4-1)</f>
        <v>0</v>
      </c>
      <c r="E77" s="7" t="s">
        <v>171</v>
      </c>
      <c r="F77" s="10">
        <f>D77/0.9</f>
        <v>0</v>
      </c>
      <c r="G77" s="7" t="s">
        <v>172</v>
      </c>
      <c r="H77" s="7" t="str">
        <f>IF(F77&lt;=0.1,"OK","Пересмотреть")</f>
        <v>OK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25.95" customHeight="1">
      <c r="A83" s="19" t="s">
        <v>186</v>
      </c>
      <c r="B83" s="19"/>
      <c r="C83" s="19"/>
      <c r="D83" s="19"/>
      <c r="E83" s="19"/>
      <c r="F83" s="19"/>
      <c r="G83" s="19"/>
      <c r="H83" s="19"/>
      <c r="I83" s="19"/>
      <c r="J83" s="1"/>
      <c r="K83" s="1"/>
      <c r="L83" s="1"/>
      <c r="M83" s="1"/>
      <c r="N83" s="1"/>
      <c r="O83" s="1"/>
      <c r="P83" s="1"/>
      <c r="Q83" s="1"/>
    </row>
    <row r="84" spans="1:17" ht="30" customHeight="1">
      <c r="A84" s="2" t="s">
        <v>165</v>
      </c>
      <c r="B84" s="2" t="s">
        <v>6</v>
      </c>
      <c r="C84" s="2" t="s">
        <v>10</v>
      </c>
      <c r="D84" s="2" t="s">
        <v>14</v>
      </c>
      <c r="E84" s="2" t="s">
        <v>18</v>
      </c>
      <c r="F84" s="2" t="s">
        <v>22</v>
      </c>
      <c r="G84" s="2" t="s">
        <v>166</v>
      </c>
      <c r="H84" s="2" t="s">
        <v>167</v>
      </c>
      <c r="I84" s="2" t="s">
        <v>168</v>
      </c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 t="s">
        <v>6</v>
      </c>
      <c r="B85" s="8">
        <f>1</f>
        <v>1</v>
      </c>
      <c r="C85" s="8">
        <f>'МАИ суждения'!F5</f>
        <v>1</v>
      </c>
      <c r="D85" s="8">
        <f>'МАИ суждения'!F6</f>
        <v>2</v>
      </c>
      <c r="E85" s="8">
        <f>'МАИ суждения'!F7</f>
        <v>3</v>
      </c>
      <c r="F85" s="8">
        <f>'МАИ суждения'!F8</f>
        <v>3</v>
      </c>
      <c r="G85" s="8">
        <f>(PRODUCT(B85:F85))^(1/5)</f>
        <v>1.7826024579660034</v>
      </c>
      <c r="H85" s="8">
        <f>G85/SUM($G$85:$G$89)</f>
        <v>0.308610263398368</v>
      </c>
      <c r="I85" s="8">
        <f>(B85*$H$85+C85*$H$86+D85*$H$87+E85*$H$88+F85*$H$89)/H85</f>
        <v>5.0415735446503902</v>
      </c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 t="s">
        <v>10</v>
      </c>
      <c r="B86" s="8">
        <f>1/'МАИ суждения'!F5</f>
        <v>1</v>
      </c>
      <c r="C86" s="8">
        <f>1</f>
        <v>1</v>
      </c>
      <c r="D86" s="8">
        <f>'МАИ суждения'!F9</f>
        <v>2</v>
      </c>
      <c r="E86" s="8">
        <f>'МАИ суждения'!F10</f>
        <v>3</v>
      </c>
      <c r="F86" s="8">
        <f>'МАИ суждения'!F11</f>
        <v>4</v>
      </c>
      <c r="G86" s="8">
        <f>(PRODUCT(B86:F86))^(1/5)</f>
        <v>1.8881750225898042</v>
      </c>
      <c r="H86" s="8">
        <f>G86/SUM($G$85:$G$89)</f>
        <v>0.32688734858390506</v>
      </c>
      <c r="I86" s="8">
        <f>(B86*$H$85+C86*$H$86+D86*$H$87+E86*$H$88+F86*$H$89)/H86</f>
        <v>5.0038662917444974</v>
      </c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 t="s">
        <v>14</v>
      </c>
      <c r="B87" s="8">
        <f>1/'МАИ суждения'!F6</f>
        <v>0.5</v>
      </c>
      <c r="C87" s="8">
        <f>1/'МАИ суждения'!F9</f>
        <v>0.5</v>
      </c>
      <c r="D87" s="8">
        <f>1</f>
        <v>1</v>
      </c>
      <c r="E87" s="8">
        <f>'МАИ суждения'!F12</f>
        <v>2</v>
      </c>
      <c r="F87" s="8">
        <f>'МАИ суждения'!F13</f>
        <v>2</v>
      </c>
      <c r="G87" s="8">
        <f>(PRODUCT(B87:F87))^(1/5)</f>
        <v>1</v>
      </c>
      <c r="H87" s="8">
        <f>G87/SUM($G$85:$G$89)</f>
        <v>0.17312343647865294</v>
      </c>
      <c r="I87" s="8">
        <f>(B87*$H$85+C87*$H$86+D87*$H$87+E87*$H$88+F87*$H$89)/H87</f>
        <v>5.0462846817141402</v>
      </c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 t="s">
        <v>18</v>
      </c>
      <c r="B88" s="8">
        <f>1/'МАИ суждения'!F7</f>
        <v>0.33333333333333331</v>
      </c>
      <c r="C88" s="8">
        <f>1/'МАИ суждения'!F10</f>
        <v>0.33333333333333331</v>
      </c>
      <c r="D88" s="8">
        <f>1/'МАИ суждения'!F12</f>
        <v>0.5</v>
      </c>
      <c r="E88" s="8">
        <f>1</f>
        <v>1</v>
      </c>
      <c r="F88" s="8">
        <f>'МАИ суждения'!F14</f>
        <v>2</v>
      </c>
      <c r="G88" s="8">
        <f>(PRODUCT(B88:F88))^(1/5)</f>
        <v>0.64439401497725424</v>
      </c>
      <c r="H88" s="8">
        <f>G88/SUM($G$85:$G$89)</f>
        <v>0.11155970631913881</v>
      </c>
      <c r="I88" s="8">
        <f>(B88*$H$85+C88*$H$86+D88*$H$87+E88*$H$88+F88*$H$89)/H88</f>
        <v>5.1057184634058368</v>
      </c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 t="s">
        <v>22</v>
      </c>
      <c r="B89" s="8">
        <f>1/'МАИ суждения'!F8</f>
        <v>0.33333333333333331</v>
      </c>
      <c r="C89" s="8">
        <f>1/'МАИ суждения'!F11</f>
        <v>0.25</v>
      </c>
      <c r="D89" s="8">
        <f>1/'МАИ суждения'!F13</f>
        <v>0.5</v>
      </c>
      <c r="E89" s="8">
        <f>1/'МАИ суждения'!F14</f>
        <v>0.5</v>
      </c>
      <c r="F89" s="8">
        <f>1</f>
        <v>1</v>
      </c>
      <c r="G89" s="8">
        <f>(PRODUCT(B89:F89))^(1/5)</f>
        <v>0.46105395574086383</v>
      </c>
      <c r="H89" s="8">
        <f>G89/SUM($G$85:$G$89)</f>
        <v>7.9819245219935109E-2</v>
      </c>
      <c r="I89" s="8">
        <f>(B89*$H$85+C89*$H$86+D89*$H$87+E89*$H$88+F89*$H$89)/H89</f>
        <v>5.0959231754633958</v>
      </c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7" t="s">
        <v>169</v>
      </c>
      <c r="B91" s="10">
        <f>AVERAGE(I85:I89)</f>
        <v>5.0586732313956517</v>
      </c>
      <c r="C91" s="7" t="s">
        <v>170</v>
      </c>
      <c r="D91" s="10">
        <f>(B91-5)/(5-1)</f>
        <v>1.4668307848912931E-2</v>
      </c>
      <c r="E91" s="7" t="s">
        <v>171</v>
      </c>
      <c r="F91" s="10">
        <f>D91/1.12</f>
        <v>1.3096703436529402E-2</v>
      </c>
      <c r="G91" s="7" t="s">
        <v>172</v>
      </c>
      <c r="H91" s="7" t="str">
        <f>IF(F91&lt;=0.1,"OK","Пересмотреть")</f>
        <v>OK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25.95" customHeight="1">
      <c r="A96" s="19" t="s">
        <v>187</v>
      </c>
      <c r="B96" s="19"/>
      <c r="C96" s="19"/>
      <c r="D96" s="19"/>
      <c r="E96" s="19"/>
      <c r="F96" s="19"/>
      <c r="G96" s="19"/>
      <c r="H96" s="19"/>
      <c r="I96" s="19"/>
      <c r="J96" s="1"/>
      <c r="K96" s="1"/>
      <c r="L96" s="1"/>
      <c r="M96" s="1"/>
      <c r="N96" s="1"/>
      <c r="O96" s="1"/>
      <c r="P96" s="1"/>
      <c r="Q96" s="1"/>
    </row>
    <row r="97" spans="1:17" ht="30" customHeight="1">
      <c r="A97" s="2" t="s">
        <v>165</v>
      </c>
      <c r="B97" s="2" t="s">
        <v>33</v>
      </c>
      <c r="C97" s="2" t="s">
        <v>62</v>
      </c>
      <c r="D97" s="2" t="s">
        <v>78</v>
      </c>
      <c r="E97" s="2" t="s">
        <v>92</v>
      </c>
      <c r="F97" s="2" t="s">
        <v>166</v>
      </c>
      <c r="G97" s="2" t="s">
        <v>167</v>
      </c>
      <c r="H97" s="2" t="s">
        <v>168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 t="s">
        <v>33</v>
      </c>
      <c r="B98" s="8">
        <f>1</f>
        <v>1</v>
      </c>
      <c r="C98" s="8">
        <f>'МАИ суждения'!F15</f>
        <v>0.5</v>
      </c>
      <c r="D98" s="8">
        <f>'МАИ суждения'!F16</f>
        <v>1</v>
      </c>
      <c r="E98" s="8">
        <f>'МАИ суждения'!F17</f>
        <v>0.5</v>
      </c>
      <c r="F98" s="8">
        <f>(PRODUCT(B98:E98))^(1/4)</f>
        <v>0.70710678118654757</v>
      </c>
      <c r="G98" s="8">
        <f>F98/SUM($F$98:$F$101)</f>
        <v>0.16083524030527072</v>
      </c>
      <c r="H98" s="8">
        <f>(B98*$G$98+C98*$G$99+D98*$G$100+E98*$G$101)/G98</f>
        <v>4.060572431816051</v>
      </c>
      <c r="I98" s="8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 t="s">
        <v>62</v>
      </c>
      <c r="B99" s="8">
        <f>1/'МАИ суждения'!F15</f>
        <v>2</v>
      </c>
      <c r="C99" s="8">
        <f>1</f>
        <v>1</v>
      </c>
      <c r="D99" s="8">
        <f>'МАИ суждения'!F18</f>
        <v>3</v>
      </c>
      <c r="E99" s="8">
        <f>'МАИ суждения'!F19</f>
        <v>2</v>
      </c>
      <c r="F99" s="8">
        <f>(PRODUCT(B99:E99))^(1/4)</f>
        <v>1.8612097182041991</v>
      </c>
      <c r="G99" s="8">
        <f>F99/SUM($F$98:$F$101)</f>
        <v>0.42334216026547211</v>
      </c>
      <c r="H99" s="8">
        <f>(B99*$G$98+C99*$G$99+D99*$G$100+E99*$G$101)/G99</f>
        <v>4.0676054660976968</v>
      </c>
      <c r="I99" s="8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 t="s">
        <v>78</v>
      </c>
      <c r="B100" s="8">
        <f>1/'МАИ суждения'!F16</f>
        <v>1</v>
      </c>
      <c r="C100" s="8">
        <f>1/'МАИ суждения'!F18</f>
        <v>0.33333333333333331</v>
      </c>
      <c r="D100" s="8">
        <f>1</f>
        <v>1</v>
      </c>
      <c r="E100" s="8">
        <f>'МАИ суждения'!F20</f>
        <v>0.5</v>
      </c>
      <c r="F100" s="8">
        <f>(PRODUCT(B100:E100))^(1/4)</f>
        <v>0.63894310424627243</v>
      </c>
      <c r="G100" s="8">
        <f>F100/SUM($F$98:$F$101)</f>
        <v>0.14533104539091346</v>
      </c>
      <c r="H100" s="8">
        <f>(B100*$G$98+C100*$G$99+D100*$G$100+E100*$G$101)/G100</f>
        <v>4.0082703222170686</v>
      </c>
      <c r="I100" s="8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 t="s">
        <v>92</v>
      </c>
      <c r="B101" s="8">
        <f>1/'МАИ суждения'!F17</f>
        <v>2</v>
      </c>
      <c r="C101" s="8">
        <f>1/'МАИ суждения'!F19</f>
        <v>0.5</v>
      </c>
      <c r="D101" s="8">
        <f>1/'МАИ суждения'!F20</f>
        <v>2</v>
      </c>
      <c r="E101" s="8">
        <f>1</f>
        <v>1</v>
      </c>
      <c r="F101" s="8">
        <f>(PRODUCT(B101:E101))^(1/4)</f>
        <v>1.189207115002721</v>
      </c>
      <c r="G101" s="8">
        <f>F101/SUM($F$98:$F$101)</f>
        <v>0.27049155403834374</v>
      </c>
      <c r="H101" s="8">
        <f>(B101*$G$98+C101*$G$99+D101*$G$100+E101*$G$101)/G101</f>
        <v>4.046319336862906</v>
      </c>
      <c r="I101" s="8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7" t="s">
        <v>169</v>
      </c>
      <c r="B103" s="10">
        <f>AVERAGE(H98:H101)</f>
        <v>4.045691889248431</v>
      </c>
      <c r="C103" s="7" t="s">
        <v>170</v>
      </c>
      <c r="D103" s="10">
        <f>(B103-4)/(4-1)</f>
        <v>1.5230629749477012E-2</v>
      </c>
      <c r="E103" s="7" t="s">
        <v>171</v>
      </c>
      <c r="F103" s="10">
        <f>D103/0.9</f>
        <v>1.6922921943863346E-2</v>
      </c>
      <c r="G103" s="7" t="s">
        <v>172</v>
      </c>
      <c r="H103" s="7" t="str">
        <f>IF(F103&lt;=0.1,"OK","Пересмотреть")</f>
        <v>OK</v>
      </c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25.95" customHeight="1">
      <c r="A109" s="19" t="s">
        <v>188</v>
      </c>
      <c r="B109" s="19"/>
      <c r="C109" s="19"/>
      <c r="D109" s="19"/>
      <c r="E109" s="19"/>
      <c r="F109" s="19"/>
      <c r="G109" s="19"/>
      <c r="H109" s="19"/>
      <c r="I109" s="19"/>
      <c r="J109" s="1"/>
      <c r="K109" s="1"/>
      <c r="L109" s="1"/>
      <c r="M109" s="1"/>
      <c r="N109" s="1"/>
      <c r="O109" s="1"/>
      <c r="P109" s="1"/>
      <c r="Q109" s="1"/>
    </row>
    <row r="110" spans="1:17" ht="30" customHeight="1">
      <c r="A110" s="2" t="s">
        <v>165</v>
      </c>
      <c r="B110" s="2" t="s">
        <v>33</v>
      </c>
      <c r="C110" s="2" t="s">
        <v>62</v>
      </c>
      <c r="D110" s="2" t="s">
        <v>78</v>
      </c>
      <c r="E110" s="2" t="s">
        <v>92</v>
      </c>
      <c r="F110" s="2" t="s">
        <v>166</v>
      </c>
      <c r="G110" s="2" t="s">
        <v>167</v>
      </c>
      <c r="H110" s="2" t="s">
        <v>168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 t="s">
        <v>33</v>
      </c>
      <c r="B111" s="8">
        <f>1</f>
        <v>1</v>
      </c>
      <c r="C111" s="8">
        <f>'МАИ суждения'!F21</f>
        <v>2</v>
      </c>
      <c r="D111" s="8">
        <f>'МАИ суждения'!F22</f>
        <v>1</v>
      </c>
      <c r="E111" s="8">
        <f>'МАИ суждения'!F23</f>
        <v>4</v>
      </c>
      <c r="F111" s="8">
        <f>(PRODUCT(B111:E111))^(1/4)</f>
        <v>1.681792830507429</v>
      </c>
      <c r="G111" s="8">
        <f>F111/SUM($F$111:$F$114)</f>
        <v>0.35981040658813379</v>
      </c>
      <c r="H111" s="8">
        <f>(B111*$G$111+C111*$G$112+D111*$G$113+E111*$G$114)/G111</f>
        <v>4.0102839233101673</v>
      </c>
      <c r="I111" s="8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 t="s">
        <v>62</v>
      </c>
      <c r="B112" s="8">
        <f>1/'МАИ суждения'!F21</f>
        <v>0.5</v>
      </c>
      <c r="C112" s="8">
        <f>1</f>
        <v>1</v>
      </c>
      <c r="D112" s="8">
        <f>'МАИ суждения'!F24</f>
        <v>0.5</v>
      </c>
      <c r="E112" s="8">
        <f>'МАИ суждения'!F25</f>
        <v>3</v>
      </c>
      <c r="F112" s="8">
        <f>(PRODUCT(B112:E112))^(1/4)</f>
        <v>0.93060485910209956</v>
      </c>
      <c r="G112" s="8">
        <f>F112/SUM($F$111:$F$114)</f>
        <v>0.19909783574555459</v>
      </c>
      <c r="H112" s="8">
        <f>(B112*$G$111+C112*$G$112+D112*$G$113+E112*$G$114)/G112</f>
        <v>4.0319488786112787</v>
      </c>
      <c r="I112" s="8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 t="s">
        <v>78</v>
      </c>
      <c r="B113" s="8">
        <f>1/'МАИ суждения'!F22</f>
        <v>1</v>
      </c>
      <c r="C113" s="8">
        <f>1/'МАИ суждения'!F24</f>
        <v>2</v>
      </c>
      <c r="D113" s="8">
        <f>1</f>
        <v>1</v>
      </c>
      <c r="E113" s="8">
        <f>'МАИ суждения'!F26</f>
        <v>4</v>
      </c>
      <c r="F113" s="8">
        <f>(PRODUCT(B113:E113))^(1/4)</f>
        <v>1.681792830507429</v>
      </c>
      <c r="G113" s="8">
        <f>F113/SUM($F$111:$F$114)</f>
        <v>0.35981040658813379</v>
      </c>
      <c r="H113" s="8">
        <f>(B113*$G$111+C113*$G$112+D113*$G$113+E113*$G$114)/G113</f>
        <v>4.0102839233101673</v>
      </c>
      <c r="I113" s="8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 t="s">
        <v>92</v>
      </c>
      <c r="B114" s="8">
        <f>1/'МАИ суждения'!F23</f>
        <v>0.25</v>
      </c>
      <c r="C114" s="8">
        <f>1/'МАИ суждения'!F25</f>
        <v>0.33333333333333331</v>
      </c>
      <c r="D114" s="8">
        <f>1/'МАИ суждения'!F26</f>
        <v>0.25</v>
      </c>
      <c r="E114" s="8">
        <f>1</f>
        <v>1</v>
      </c>
      <c r="F114" s="8">
        <f>(PRODUCT(B114:E114))^(1/4)</f>
        <v>0.37991784282579627</v>
      </c>
      <c r="G114" s="8">
        <f>F114/SUM($F$111:$F$114)</f>
        <v>8.128135107817766E-2</v>
      </c>
      <c r="H114" s="8">
        <f>(B114*$G$111+C114*$G$112+D114*$G$113+E114*$G$114)/G114</f>
        <v>4.0298604203283688</v>
      </c>
      <c r="I114" s="8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7" t="s">
        <v>169</v>
      </c>
      <c r="B116" s="10">
        <f>AVERAGE(H111:H114)</f>
        <v>4.0205942863899953</v>
      </c>
      <c r="C116" s="7" t="s">
        <v>170</v>
      </c>
      <c r="D116" s="10">
        <f>(B116-4)/(4-1)</f>
        <v>6.8647621299984252E-3</v>
      </c>
      <c r="E116" s="7" t="s">
        <v>171</v>
      </c>
      <c r="F116" s="10">
        <f>D116/0.9</f>
        <v>7.6275134777760278E-3</v>
      </c>
      <c r="G116" s="7" t="s">
        <v>172</v>
      </c>
      <c r="H116" s="7" t="str">
        <f>IF(F116&lt;=0.1,"OK","Пересмотреть")</f>
        <v>OK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25.95" customHeight="1">
      <c r="A122" s="19" t="s">
        <v>189</v>
      </c>
      <c r="B122" s="19"/>
      <c r="C122" s="19"/>
      <c r="D122" s="19"/>
      <c r="E122" s="19"/>
      <c r="F122" s="19"/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</row>
    <row r="123" spans="1:17" ht="30" customHeight="1">
      <c r="A123" s="2" t="s">
        <v>165</v>
      </c>
      <c r="B123" s="2" t="s">
        <v>33</v>
      </c>
      <c r="C123" s="2" t="s">
        <v>62</v>
      </c>
      <c r="D123" s="2" t="s">
        <v>78</v>
      </c>
      <c r="E123" s="2" t="s">
        <v>92</v>
      </c>
      <c r="F123" s="2" t="s">
        <v>166</v>
      </c>
      <c r="G123" s="2" t="s">
        <v>167</v>
      </c>
      <c r="H123" s="2" t="s">
        <v>168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 t="s">
        <v>33</v>
      </c>
      <c r="B124" s="8">
        <f>1</f>
        <v>1</v>
      </c>
      <c r="C124" s="8">
        <f>'МАИ суждения'!F27</f>
        <v>1</v>
      </c>
      <c r="D124" s="8">
        <f>'МАИ суждения'!F28</f>
        <v>2</v>
      </c>
      <c r="E124" s="8">
        <f>'МАИ суждения'!F29</f>
        <v>3</v>
      </c>
      <c r="F124" s="8">
        <f>(PRODUCT(B124:E124))^(1/4)</f>
        <v>1.5650845800732873</v>
      </c>
      <c r="G124" s="8">
        <f>F124/SUM($F$124:$F$127)</f>
        <v>0.34476457366540525</v>
      </c>
      <c r="H124" s="8">
        <f>(B124*$G$124+C124*$G$125+D124*$G$126+E124*$G$127)/G124</f>
        <v>4.0151652674315228</v>
      </c>
      <c r="I124" s="8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 t="s">
        <v>62</v>
      </c>
      <c r="B125" s="8">
        <f>1/'МАИ суждения'!F27</f>
        <v>1</v>
      </c>
      <c r="C125" s="8">
        <f>1</f>
        <v>1</v>
      </c>
      <c r="D125" s="8">
        <f>'МАИ суждения'!F30</f>
        <v>2</v>
      </c>
      <c r="E125" s="8">
        <f>'МАИ суждения'!F31</f>
        <v>4</v>
      </c>
      <c r="F125" s="8">
        <f>(PRODUCT(B125:E125))^(1/4)</f>
        <v>1.681792830507429</v>
      </c>
      <c r="G125" s="8">
        <f>F125/SUM($F$124:$F$127)</f>
        <v>0.37047364441880704</v>
      </c>
      <c r="H125" s="8">
        <f>(B125*$G$124+C125*$G$125+D125*$G$126+E125*$G$127)/G125</f>
        <v>4.0051747909256417</v>
      </c>
      <c r="I125" s="8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 t="s">
        <v>78</v>
      </c>
      <c r="B126" s="8">
        <f>1/'МАИ суждения'!F28</f>
        <v>0.5</v>
      </c>
      <c r="C126" s="8">
        <f>1/'МАИ суждения'!F30</f>
        <v>0.5</v>
      </c>
      <c r="D126" s="8">
        <f>1</f>
        <v>1</v>
      </c>
      <c r="E126" s="8">
        <f>'МАИ суждения'!F32</f>
        <v>2</v>
      </c>
      <c r="F126" s="8">
        <f>(PRODUCT(B126:E126))^(1/4)</f>
        <v>0.8408964152537145</v>
      </c>
      <c r="G126" s="8">
        <f>F126/SUM($F$124:$F$127)</f>
        <v>0.18523682220940352</v>
      </c>
      <c r="H126" s="8">
        <f>(B126*$G$124+C126*$G$125+D126*$G$126+E126*$G$127)/G126</f>
        <v>4.0051747909256417</v>
      </c>
      <c r="I126" s="8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 t="s">
        <v>92</v>
      </c>
      <c r="B127" s="8">
        <f>1/'МАИ суждения'!F29</f>
        <v>0.33333333333333331</v>
      </c>
      <c r="C127" s="8">
        <f>1/'МАИ суждения'!F31</f>
        <v>0.25</v>
      </c>
      <c r="D127" s="8">
        <f>1/'МАИ суждения'!F32</f>
        <v>0.5</v>
      </c>
      <c r="E127" s="8">
        <f>1</f>
        <v>1</v>
      </c>
      <c r="F127" s="8">
        <f>(PRODUCT(B127:E127))^(1/4)</f>
        <v>0.45180100180492239</v>
      </c>
      <c r="G127" s="8">
        <f>F127/SUM($F$124:$F$127)</f>
        <v>9.9524959706384142E-2</v>
      </c>
      <c r="H127" s="8">
        <f>(B127*$G$124+C127*$G$125+D127*$G$126+E127*$G$127)/G127</f>
        <v>4.0159102565834504</v>
      </c>
      <c r="I127" s="8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7" t="s">
        <v>169</v>
      </c>
      <c r="B129" s="10">
        <f>AVERAGE(H124:H127)</f>
        <v>4.0103562764665641</v>
      </c>
      <c r="C129" s="7" t="s">
        <v>170</v>
      </c>
      <c r="D129" s="10">
        <f>(B129-4)/(4-1)</f>
        <v>3.4520921555213726E-3</v>
      </c>
      <c r="E129" s="7" t="s">
        <v>171</v>
      </c>
      <c r="F129" s="10">
        <f>D129/0.9</f>
        <v>3.8356579505793029E-3</v>
      </c>
      <c r="G129" s="7" t="s">
        <v>172</v>
      </c>
      <c r="H129" s="7" t="str">
        <f>IF(F129&lt;=0.1,"OK","Пересмотреть")</f>
        <v>OK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25.95" customHeight="1">
      <c r="A135" s="19" t="s">
        <v>190</v>
      </c>
      <c r="B135" s="19"/>
      <c r="C135" s="19"/>
      <c r="D135" s="19"/>
      <c r="E135" s="19"/>
      <c r="F135" s="19"/>
      <c r="G135" s="19"/>
      <c r="H135" s="19"/>
      <c r="I135" s="19"/>
      <c r="J135" s="1"/>
      <c r="K135" s="1"/>
      <c r="L135" s="1"/>
      <c r="M135" s="1"/>
      <c r="N135" s="1"/>
      <c r="O135" s="1"/>
      <c r="P135" s="1"/>
      <c r="Q135" s="1"/>
    </row>
    <row r="136" spans="1:17" ht="30" customHeight="1">
      <c r="A136" s="2" t="s">
        <v>165</v>
      </c>
      <c r="B136" s="2" t="s">
        <v>33</v>
      </c>
      <c r="C136" s="2" t="s">
        <v>62</v>
      </c>
      <c r="D136" s="2" t="s">
        <v>78</v>
      </c>
      <c r="E136" s="2" t="s">
        <v>92</v>
      </c>
      <c r="F136" s="2" t="s">
        <v>166</v>
      </c>
      <c r="G136" s="2" t="s">
        <v>167</v>
      </c>
      <c r="H136" s="2" t="s">
        <v>168</v>
      </c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 t="s">
        <v>33</v>
      </c>
      <c r="B137" s="8">
        <f>1</f>
        <v>1</v>
      </c>
      <c r="C137" s="8">
        <f>'МАИ суждения'!F33</f>
        <v>1</v>
      </c>
      <c r="D137" s="8">
        <f>'МАИ суждения'!F34</f>
        <v>2</v>
      </c>
      <c r="E137" s="8">
        <f>'МАИ суждения'!F35</f>
        <v>3</v>
      </c>
      <c r="F137" s="8">
        <f>(PRODUCT(B137:E137))^(1/4)</f>
        <v>1.5650845800732873</v>
      </c>
      <c r="G137" s="8">
        <f>F137/SUM($F$137:$F$140)</f>
        <v>0.34476457366540525</v>
      </c>
      <c r="H137" s="8">
        <f>(B137*$G$137+C137*$G$138+D137*$G$139+E137*$G$140)/G137</f>
        <v>4.0151652674315228</v>
      </c>
      <c r="I137" s="8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 t="s">
        <v>62</v>
      </c>
      <c r="B138" s="8">
        <f>1/'МАИ суждения'!F33</f>
        <v>1</v>
      </c>
      <c r="C138" s="8">
        <f>1</f>
        <v>1</v>
      </c>
      <c r="D138" s="8">
        <f>'МАИ суждения'!F36</f>
        <v>2</v>
      </c>
      <c r="E138" s="8">
        <f>'МАИ суждения'!F37</f>
        <v>4</v>
      </c>
      <c r="F138" s="8">
        <f>(PRODUCT(B138:E138))^(1/4)</f>
        <v>1.681792830507429</v>
      </c>
      <c r="G138" s="8">
        <f>F138/SUM($F$137:$F$140)</f>
        <v>0.37047364441880704</v>
      </c>
      <c r="H138" s="8">
        <f>(B138*$G$137+C138*$G$138+D138*$G$139+E138*$G$140)/G138</f>
        <v>4.0051747909256417</v>
      </c>
      <c r="I138" s="8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 t="s">
        <v>78</v>
      </c>
      <c r="B139" s="8">
        <f>1/'МАИ суждения'!F34</f>
        <v>0.5</v>
      </c>
      <c r="C139" s="8">
        <f>1/'МАИ суждения'!F36</f>
        <v>0.5</v>
      </c>
      <c r="D139" s="8">
        <f>1</f>
        <v>1</v>
      </c>
      <c r="E139" s="8">
        <f>'МАИ суждения'!F38</f>
        <v>2</v>
      </c>
      <c r="F139" s="8">
        <f>(PRODUCT(B139:E139))^(1/4)</f>
        <v>0.8408964152537145</v>
      </c>
      <c r="G139" s="8">
        <f>F139/SUM($F$137:$F$140)</f>
        <v>0.18523682220940352</v>
      </c>
      <c r="H139" s="8">
        <f>(B139*$G$137+C139*$G$138+D139*$G$139+E139*$G$140)/G139</f>
        <v>4.0051747909256417</v>
      </c>
      <c r="I139" s="8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 t="s">
        <v>92</v>
      </c>
      <c r="B140" s="8">
        <f>1/'МАИ суждения'!F35</f>
        <v>0.33333333333333331</v>
      </c>
      <c r="C140" s="8">
        <f>1/'МАИ суждения'!F37</f>
        <v>0.25</v>
      </c>
      <c r="D140" s="8">
        <f>1/'МАИ суждения'!F38</f>
        <v>0.5</v>
      </c>
      <c r="E140" s="8">
        <f>1</f>
        <v>1</v>
      </c>
      <c r="F140" s="8">
        <f>(PRODUCT(B140:E140))^(1/4)</f>
        <v>0.45180100180492239</v>
      </c>
      <c r="G140" s="8">
        <f>F140/SUM($F$137:$F$140)</f>
        <v>9.9524959706384142E-2</v>
      </c>
      <c r="H140" s="8">
        <f>(B140*$G$137+C140*$G$138+D140*$G$139+E140*$G$140)/G140</f>
        <v>4.0159102565834504</v>
      </c>
      <c r="I140" s="8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7" t="s">
        <v>169</v>
      </c>
      <c r="B142" s="10">
        <f>AVERAGE(H137:H140)</f>
        <v>4.0103562764665641</v>
      </c>
      <c r="C142" s="7" t="s">
        <v>170</v>
      </c>
      <c r="D142" s="10">
        <f>(B142-4)/(4-1)</f>
        <v>3.4520921555213726E-3</v>
      </c>
      <c r="E142" s="7" t="s">
        <v>171</v>
      </c>
      <c r="F142" s="10">
        <f>D142/0.9</f>
        <v>3.8356579505793029E-3</v>
      </c>
      <c r="G142" s="7" t="s">
        <v>172</v>
      </c>
      <c r="H142" s="7" t="str">
        <f>IF(F142&lt;=0.1,"OK","Пересмотреть")</f>
        <v>OK</v>
      </c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25.95" customHeight="1">
      <c r="A148" s="19" t="s">
        <v>191</v>
      </c>
      <c r="B148" s="19"/>
      <c r="C148" s="19"/>
      <c r="D148" s="19"/>
      <c r="E148" s="19"/>
      <c r="F148" s="19"/>
      <c r="G148" s="19"/>
      <c r="H148" s="19"/>
      <c r="I148" s="19"/>
      <c r="J148" s="1"/>
      <c r="K148" s="1"/>
      <c r="L148" s="1"/>
      <c r="M148" s="1"/>
      <c r="N148" s="1"/>
      <c r="O148" s="1"/>
      <c r="P148" s="1"/>
      <c r="Q148" s="1"/>
    </row>
    <row r="149" spans="1:17" ht="30" customHeight="1">
      <c r="A149" s="2" t="s">
        <v>165</v>
      </c>
      <c r="B149" s="2" t="s">
        <v>33</v>
      </c>
      <c r="C149" s="2" t="s">
        <v>62</v>
      </c>
      <c r="D149" s="2" t="s">
        <v>78</v>
      </c>
      <c r="E149" s="2" t="s">
        <v>92</v>
      </c>
      <c r="F149" s="2" t="s">
        <v>166</v>
      </c>
      <c r="G149" s="2" t="s">
        <v>167</v>
      </c>
      <c r="H149" s="2" t="s">
        <v>168</v>
      </c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 t="s">
        <v>33</v>
      </c>
      <c r="B150" s="8">
        <f>1</f>
        <v>1</v>
      </c>
      <c r="C150" s="8">
        <f>'МАИ суждения'!F39</f>
        <v>0.25</v>
      </c>
      <c r="D150" s="8">
        <f>'МАИ суждения'!F40</f>
        <v>0.33333333333333331</v>
      </c>
      <c r="E150" s="8">
        <f>'МАИ суждения'!F41</f>
        <v>0.25</v>
      </c>
      <c r="F150" s="8">
        <f>(PRODUCT(B150:E150))^(1/4)</f>
        <v>0.37991784282579627</v>
      </c>
      <c r="G150" s="8">
        <f>F150/SUM($F$150:$F$153)</f>
        <v>8.1281351078177674E-2</v>
      </c>
      <c r="H150" s="8">
        <f>(B150*$G$150+C150*$G$151+D150*$G$152+E150*$G$153)/G150</f>
        <v>4.0298604203283688</v>
      </c>
      <c r="I150" s="8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 t="s">
        <v>62</v>
      </c>
      <c r="B151" s="8">
        <f>1/'МАИ суждения'!F39</f>
        <v>4</v>
      </c>
      <c r="C151" s="8">
        <f>1</f>
        <v>1</v>
      </c>
      <c r="D151" s="8">
        <f>'МАИ суждения'!F42</f>
        <v>2</v>
      </c>
      <c r="E151" s="8">
        <f>'МАИ суждения'!F43</f>
        <v>1</v>
      </c>
      <c r="F151" s="8">
        <f>(PRODUCT(B151:E151))^(1/4)</f>
        <v>1.681792830507429</v>
      </c>
      <c r="G151" s="8">
        <f>F151/SUM($F$150:$F$153)</f>
        <v>0.3598104065881339</v>
      </c>
      <c r="H151" s="8">
        <f>(B151*$G$150+C151*$G$151+D151*$G$152+E151*$G$153)/G151</f>
        <v>4.0102839233101655</v>
      </c>
      <c r="I151" s="8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 t="s">
        <v>78</v>
      </c>
      <c r="B152" s="8">
        <f>1/'МАИ суждения'!F40</f>
        <v>3</v>
      </c>
      <c r="C152" s="8">
        <f>1/'МАИ суждения'!F42</f>
        <v>0.5</v>
      </c>
      <c r="D152" s="8">
        <f>1</f>
        <v>1</v>
      </c>
      <c r="E152" s="8">
        <f>'МАИ суждения'!F44</f>
        <v>0.5</v>
      </c>
      <c r="F152" s="8">
        <f>(PRODUCT(B152:E152))^(1/4)</f>
        <v>0.93060485910209956</v>
      </c>
      <c r="G152" s="8">
        <f>F152/SUM($F$150:$F$153)</f>
        <v>0.19909783574555462</v>
      </c>
      <c r="H152" s="8">
        <f>(B152*$G$150+C152*$G$151+D152*$G$152+E152*$G$153)/G152</f>
        <v>4.0319488786112787</v>
      </c>
      <c r="I152" s="8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 t="s">
        <v>92</v>
      </c>
      <c r="B153" s="8">
        <f>1/'МАИ суждения'!F41</f>
        <v>4</v>
      </c>
      <c r="C153" s="8">
        <f>1/'МАИ суждения'!F43</f>
        <v>1</v>
      </c>
      <c r="D153" s="8">
        <f>1/'МАИ суждения'!F44</f>
        <v>2</v>
      </c>
      <c r="E153" s="8">
        <f>1</f>
        <v>1</v>
      </c>
      <c r="F153" s="8">
        <f>(PRODUCT(B153:E153))^(1/4)</f>
        <v>1.681792830507429</v>
      </c>
      <c r="G153" s="8">
        <f>F153/SUM($F$150:$F$153)</f>
        <v>0.3598104065881339</v>
      </c>
      <c r="H153" s="8">
        <f>(B153*$G$150+C153*$G$151+D153*$G$152+E153*$G$153)/G153</f>
        <v>4.0102839233101655</v>
      </c>
      <c r="I153" s="8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7" t="s">
        <v>169</v>
      </c>
      <c r="B155" s="10">
        <f>AVERAGE(H150:H153)</f>
        <v>4.0205942863899944</v>
      </c>
      <c r="C155" s="7" t="s">
        <v>170</v>
      </c>
      <c r="D155" s="10">
        <f>(B155-4)/(4-1)</f>
        <v>6.8647621299981294E-3</v>
      </c>
      <c r="E155" s="7" t="s">
        <v>171</v>
      </c>
      <c r="F155" s="10">
        <f>D155/0.9</f>
        <v>7.627513477775699E-3</v>
      </c>
      <c r="G155" s="7" t="s">
        <v>172</v>
      </c>
      <c r="H155" s="7" t="str">
        <f>IF(F155&lt;=0.1,"OK","Пересмотреть")</f>
        <v>OK</v>
      </c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25.95" customHeight="1">
      <c r="A161" s="19" t="s">
        <v>192</v>
      </c>
      <c r="B161" s="19"/>
      <c r="C161" s="19"/>
      <c r="D161" s="19"/>
      <c r="E161" s="19"/>
      <c r="F161" s="19"/>
      <c r="G161" s="19"/>
      <c r="H161" s="19"/>
      <c r="I161" s="19"/>
      <c r="J161" s="1"/>
      <c r="K161" s="1"/>
      <c r="L161" s="1"/>
      <c r="M161" s="1"/>
      <c r="N161" s="1"/>
      <c r="O161" s="1"/>
      <c r="P161" s="1"/>
      <c r="Q161" s="1"/>
    </row>
    <row r="162" spans="1:17" ht="30" customHeight="1">
      <c r="A162" s="2" t="s">
        <v>165</v>
      </c>
      <c r="B162" s="2" t="s">
        <v>6</v>
      </c>
      <c r="C162" s="2" t="s">
        <v>10</v>
      </c>
      <c r="D162" s="2" t="s">
        <v>14</v>
      </c>
      <c r="E162" s="2" t="s">
        <v>18</v>
      </c>
      <c r="F162" s="2" t="s">
        <v>22</v>
      </c>
      <c r="G162" s="2" t="s">
        <v>166</v>
      </c>
      <c r="H162" s="2" t="s">
        <v>167</v>
      </c>
      <c r="I162" s="2" t="s">
        <v>168</v>
      </c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 t="s">
        <v>6</v>
      </c>
      <c r="B163" s="8">
        <f>1</f>
        <v>1</v>
      </c>
      <c r="C163" s="8">
        <f>'МАИ суждения'!G5</f>
        <v>1</v>
      </c>
      <c r="D163" s="8">
        <f>'МАИ суждения'!G6</f>
        <v>2</v>
      </c>
      <c r="E163" s="8">
        <f>'МАИ суждения'!G7</f>
        <v>4</v>
      </c>
      <c r="F163" s="8">
        <f>'МАИ суждения'!G8</f>
        <v>3</v>
      </c>
      <c r="G163" s="8">
        <f>(PRODUCT(B163:F163))^(1/5)</f>
        <v>1.8881750225898042</v>
      </c>
      <c r="H163" s="8">
        <f>G163/SUM($G$163:$G$167)</f>
        <v>0.32476721448677476</v>
      </c>
      <c r="I163" s="8">
        <f>(B163*$H$163+C163*$H$164+D163*$H$165+E163*$H$166+F163*$H$167)/H163</f>
        <v>5.0970584367990721</v>
      </c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 t="s">
        <v>10</v>
      </c>
      <c r="B164" s="8">
        <f>1/'МАИ суждения'!G5</f>
        <v>1</v>
      </c>
      <c r="C164" s="8">
        <f>1</f>
        <v>1</v>
      </c>
      <c r="D164" s="8">
        <f>'МАИ суждения'!G9</f>
        <v>2</v>
      </c>
      <c r="E164" s="8">
        <f>'МАИ суждения'!G10</f>
        <v>3</v>
      </c>
      <c r="F164" s="8">
        <f>'МАИ суждения'!G11</f>
        <v>3</v>
      </c>
      <c r="G164" s="8">
        <f>(PRODUCT(B164:F164))^(1/5)</f>
        <v>1.7826024579660034</v>
      </c>
      <c r="H164" s="8">
        <f>G164/SUM($G$163:$G$167)</f>
        <v>0.30660867127499675</v>
      </c>
      <c r="I164" s="8">
        <f>(B164*$H$163+C164*$H$164+D164*$H$165+E164*$H$166+F164*$H$167)/H164</f>
        <v>5.0576470636300321</v>
      </c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 t="s">
        <v>14</v>
      </c>
      <c r="B165" s="8">
        <f>1/'МАИ суждения'!G6</f>
        <v>0.5</v>
      </c>
      <c r="C165" s="8">
        <f>1/'МАИ суждения'!G9</f>
        <v>0.5</v>
      </c>
      <c r="D165" s="8">
        <f>1</f>
        <v>1</v>
      </c>
      <c r="E165" s="8">
        <f>'МАИ суждения'!G12</f>
        <v>2</v>
      </c>
      <c r="F165" s="8">
        <f>'МАИ суждения'!G13</f>
        <v>3</v>
      </c>
      <c r="G165" s="8">
        <f>(PRODUCT(B165:F165))^(1/5)</f>
        <v>1.0844717711976986</v>
      </c>
      <c r="H165" s="8">
        <f>G165/SUM($G$163:$G$167)</f>
        <v>0.18652978251896365</v>
      </c>
      <c r="I165" s="8">
        <f>(B165*$H$163+C165*$H$164+D165*$H$165+E165*$H$166+F165*$H$167)/H165</f>
        <v>5.060112563116455</v>
      </c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 t="s">
        <v>18</v>
      </c>
      <c r="B166" s="8">
        <f>1/'МАИ суждения'!G7</f>
        <v>0.25</v>
      </c>
      <c r="C166" s="8">
        <f>1/'МАИ суждения'!G10</f>
        <v>0.33333333333333331</v>
      </c>
      <c r="D166" s="8">
        <f>1/'МАИ суждения'!G12</f>
        <v>0.5</v>
      </c>
      <c r="E166" s="8">
        <f>1</f>
        <v>1</v>
      </c>
      <c r="F166" s="8">
        <f>'МАИ суждения'!G14</f>
        <v>2</v>
      </c>
      <c r="G166" s="8">
        <f>(PRODUCT(B166:F166))^(1/5)</f>
        <v>0.60836434189320576</v>
      </c>
      <c r="H166" s="8">
        <f>G166/SUM($G$163:$G$167)</f>
        <v>0.10463902463805592</v>
      </c>
      <c r="I166" s="8">
        <f>(B166*$H$163+C166*$H$164+D166*$H$165+E166*$H$166+F166*$H$167)/H166</f>
        <v>5.1243713897504684</v>
      </c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 t="s">
        <v>22</v>
      </c>
      <c r="B167" s="8">
        <f>1/'МАИ суждения'!G8</f>
        <v>0.33333333333333331</v>
      </c>
      <c r="C167" s="8">
        <f>1/'МАИ суждения'!G11</f>
        <v>0.33333333333333331</v>
      </c>
      <c r="D167" s="8">
        <f>1/'МАИ суждения'!G13</f>
        <v>0.33333333333333331</v>
      </c>
      <c r="E167" s="8">
        <f>1/'МАИ суждения'!G14</f>
        <v>0.5</v>
      </c>
      <c r="F167" s="8">
        <f>1</f>
        <v>1</v>
      </c>
      <c r="G167" s="8">
        <f>(PRODUCT(B167:F167))^(1/5)</f>
        <v>0.45032001284020445</v>
      </c>
      <c r="H167" s="8">
        <f>G167/SUM($G$163:$G$167)</f>
        <v>7.7455307081208902E-2</v>
      </c>
      <c r="I167" s="8">
        <f>(B167*$H$163+C167*$H$164+D167*$H$165+E167*$H$166+F167*$H$167)/H167</f>
        <v>5.1953837293365908</v>
      </c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7" t="s">
        <v>169</v>
      </c>
      <c r="B169" s="10">
        <f>AVERAGE(I163:I167)</f>
        <v>5.1069146365265237</v>
      </c>
      <c r="C169" s="7" t="s">
        <v>170</v>
      </c>
      <c r="D169" s="10">
        <f>(B169-5)/(5-1)</f>
        <v>2.6728659131630916E-2</v>
      </c>
      <c r="E169" s="7" t="s">
        <v>171</v>
      </c>
      <c r="F169" s="10">
        <f>D169/1.12</f>
        <v>2.3864874224670457E-2</v>
      </c>
      <c r="G169" s="7" t="s">
        <v>172</v>
      </c>
      <c r="H169" s="7" t="str">
        <f>IF(F169&lt;=0.1,"OK","Пересмотреть")</f>
        <v>OK</v>
      </c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25.95" customHeight="1">
      <c r="A174" s="19" t="s">
        <v>193</v>
      </c>
      <c r="B174" s="19"/>
      <c r="C174" s="19"/>
      <c r="D174" s="19"/>
      <c r="E174" s="19"/>
      <c r="F174" s="19"/>
      <c r="G174" s="19"/>
      <c r="H174" s="19"/>
      <c r="I174" s="19"/>
      <c r="J174" s="1"/>
      <c r="K174" s="1"/>
      <c r="L174" s="1"/>
      <c r="M174" s="1"/>
      <c r="N174" s="1"/>
      <c r="O174" s="1"/>
      <c r="P174" s="1"/>
      <c r="Q174" s="1"/>
    </row>
    <row r="175" spans="1:17" ht="30" customHeight="1">
      <c r="A175" s="2" t="s">
        <v>165</v>
      </c>
      <c r="B175" s="2" t="s">
        <v>33</v>
      </c>
      <c r="C175" s="2" t="s">
        <v>62</v>
      </c>
      <c r="D175" s="2" t="s">
        <v>78</v>
      </c>
      <c r="E175" s="2" t="s">
        <v>92</v>
      </c>
      <c r="F175" s="2" t="s">
        <v>166</v>
      </c>
      <c r="G175" s="2" t="s">
        <v>167</v>
      </c>
      <c r="H175" s="2" t="s">
        <v>168</v>
      </c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 t="s">
        <v>33</v>
      </c>
      <c r="B176" s="8">
        <f>1</f>
        <v>1</v>
      </c>
      <c r="C176" s="8">
        <f>'МАИ суждения'!G15</f>
        <v>0.5</v>
      </c>
      <c r="D176" s="8">
        <f>'МАИ суждения'!G16</f>
        <v>2</v>
      </c>
      <c r="E176" s="8">
        <f>'МАИ суждения'!G17</f>
        <v>0.5</v>
      </c>
      <c r="F176" s="8">
        <f>(PRODUCT(B176:E176))^(1/4)</f>
        <v>0.8408964152537145</v>
      </c>
      <c r="G176" s="8">
        <f>F176/SUM($F$176:$F$179)</f>
        <v>0.185624105417766</v>
      </c>
      <c r="H176" s="8">
        <f>(B176*$G$176+C176*$G$177+D176*$G$178+E176*$G$179)/G176</f>
        <v>4.0855210111919895</v>
      </c>
      <c r="I176" s="8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 t="s">
        <v>62</v>
      </c>
      <c r="B177" s="8">
        <f>1/'МАИ суждения'!G15</f>
        <v>2</v>
      </c>
      <c r="C177" s="8">
        <f>1</f>
        <v>1</v>
      </c>
      <c r="D177" s="8">
        <f>'МАИ суждения'!G18</f>
        <v>4</v>
      </c>
      <c r="E177" s="8">
        <f>'МАИ суждения'!G19</f>
        <v>2</v>
      </c>
      <c r="F177" s="8">
        <f>(PRODUCT(B177:E177))^(1/4)</f>
        <v>2</v>
      </c>
      <c r="G177" s="8">
        <f>F177/SUM($F$176:$F$179)</f>
        <v>0.44149101375764493</v>
      </c>
      <c r="H177" s="8">
        <f>(B177*$G$176+C177*$G$177+D177*$G$178+E177*$G$179)/G177</f>
        <v>4.0301035302564356</v>
      </c>
      <c r="I177" s="8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 t="s">
        <v>78</v>
      </c>
      <c r="B178" s="8">
        <f>1/'МАИ суждения'!G16</f>
        <v>0.5</v>
      </c>
      <c r="C178" s="8">
        <f>1/'МАИ суждения'!G18</f>
        <v>0.25</v>
      </c>
      <c r="D178" s="8">
        <f>1</f>
        <v>1</v>
      </c>
      <c r="E178" s="8">
        <f>'МАИ суждения'!G20</f>
        <v>0.5</v>
      </c>
      <c r="F178" s="8">
        <f>(PRODUCT(B178:E178))^(1/4)</f>
        <v>0.5</v>
      </c>
      <c r="G178" s="8">
        <f>F178/SUM($F$176:$F$179)</f>
        <v>0.11037275343941123</v>
      </c>
      <c r="H178" s="8">
        <f>(B178*$G$176+C178*$G$177+D178*$G$178+E178*$G$179)/G178</f>
        <v>4.0301035302564356</v>
      </c>
      <c r="I178" s="8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 t="s">
        <v>92</v>
      </c>
      <c r="B179" s="8">
        <f>1/'МАИ суждения'!G17</f>
        <v>2</v>
      </c>
      <c r="C179" s="8">
        <f>1/'МАИ суждения'!G19</f>
        <v>0.5</v>
      </c>
      <c r="D179" s="8">
        <f>1/'МАИ суждения'!G20</f>
        <v>2</v>
      </c>
      <c r="E179" s="8">
        <f>1</f>
        <v>1</v>
      </c>
      <c r="F179" s="8">
        <f>(PRODUCT(B179:E179))^(1/4)</f>
        <v>1.189207115002721</v>
      </c>
      <c r="G179" s="8">
        <f>F179/SUM($F$176:$F$179)</f>
        <v>0.26251212738517776</v>
      </c>
      <c r="H179" s="8">
        <f>(B179*$G$176+C179*$G$177+D179*$G$178+E179*$G$179)/G179</f>
        <v>4.0960063928805246</v>
      </c>
      <c r="I179" s="8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7" t="s">
        <v>169</v>
      </c>
      <c r="B181" s="10">
        <f>AVERAGE(H176:H179)</f>
        <v>4.060433616146347</v>
      </c>
      <c r="C181" s="7" t="s">
        <v>170</v>
      </c>
      <c r="D181" s="10">
        <f>(B181-4)/(4-1)</f>
        <v>2.0144538715449006E-2</v>
      </c>
      <c r="E181" s="7" t="s">
        <v>171</v>
      </c>
      <c r="F181" s="10">
        <f>D181/0.9</f>
        <v>2.2382820794943338E-2</v>
      </c>
      <c r="G181" s="7" t="s">
        <v>172</v>
      </c>
      <c r="H181" s="7" t="str">
        <f>IF(F181&lt;=0.1,"OK","Пересмотреть")</f>
        <v>OK</v>
      </c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25.95" customHeight="1">
      <c r="A187" s="19" t="s">
        <v>194</v>
      </c>
      <c r="B187" s="19"/>
      <c r="C187" s="19"/>
      <c r="D187" s="19"/>
      <c r="E187" s="19"/>
      <c r="F187" s="19"/>
      <c r="G187" s="19"/>
      <c r="H187" s="19"/>
      <c r="I187" s="19"/>
      <c r="J187" s="1"/>
      <c r="K187" s="1"/>
      <c r="L187" s="1"/>
      <c r="M187" s="1"/>
      <c r="N187" s="1"/>
      <c r="O187" s="1"/>
      <c r="P187" s="1"/>
      <c r="Q187" s="1"/>
    </row>
    <row r="188" spans="1:17" ht="30" customHeight="1">
      <c r="A188" s="2" t="s">
        <v>165</v>
      </c>
      <c r="B188" s="2" t="s">
        <v>33</v>
      </c>
      <c r="C188" s="2" t="s">
        <v>62</v>
      </c>
      <c r="D188" s="2" t="s">
        <v>78</v>
      </c>
      <c r="E188" s="2" t="s">
        <v>92</v>
      </c>
      <c r="F188" s="2" t="s">
        <v>166</v>
      </c>
      <c r="G188" s="2" t="s">
        <v>167</v>
      </c>
      <c r="H188" s="2" t="s">
        <v>168</v>
      </c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 t="s">
        <v>33</v>
      </c>
      <c r="B189" s="8">
        <f>1</f>
        <v>1</v>
      </c>
      <c r="C189" s="8">
        <f>'МАИ суждения'!G21</f>
        <v>2</v>
      </c>
      <c r="D189" s="8">
        <f>'МАИ суждения'!G22</f>
        <v>1</v>
      </c>
      <c r="E189" s="8">
        <f>'МАИ суждения'!G23</f>
        <v>3</v>
      </c>
      <c r="F189" s="8">
        <f>(PRODUCT(B189:E189))^(1/4)</f>
        <v>1.5650845800732873</v>
      </c>
      <c r="G189" s="8">
        <f>F189/SUM($F$189:$F$192)</f>
        <v>0.34476457366540536</v>
      </c>
      <c r="H189" s="8">
        <f>(B189*$G$189+C189*$G$190+D189*$G$191+E189*$G$192)/G189</f>
        <v>4.0151652674315219</v>
      </c>
      <c r="I189" s="8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 t="s">
        <v>62</v>
      </c>
      <c r="B190" s="8">
        <f>1/'МАИ суждения'!G21</f>
        <v>0.5</v>
      </c>
      <c r="C190" s="8">
        <f>1</f>
        <v>1</v>
      </c>
      <c r="D190" s="8">
        <f>'МАИ суждения'!G24</f>
        <v>0.5</v>
      </c>
      <c r="E190" s="8">
        <f>'МАИ суждения'!G25</f>
        <v>2</v>
      </c>
      <c r="F190" s="8">
        <f>(PRODUCT(B190:E190))^(1/4)</f>
        <v>0.8408964152537145</v>
      </c>
      <c r="G190" s="8">
        <f>F190/SUM($F$189:$F$192)</f>
        <v>0.18523682220940355</v>
      </c>
      <c r="H190" s="8">
        <f>(B190*$G$189+C190*$G$190+D190*$G$191+E190*$G$192)/G190</f>
        <v>4.0051747909256417</v>
      </c>
      <c r="I190" s="8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 t="s">
        <v>78</v>
      </c>
      <c r="B191" s="8">
        <f>1/'МАИ суждения'!G22</f>
        <v>1</v>
      </c>
      <c r="C191" s="8">
        <f>1/'МАИ суждения'!G24</f>
        <v>2</v>
      </c>
      <c r="D191" s="8">
        <f>1</f>
        <v>1</v>
      </c>
      <c r="E191" s="8">
        <f>'МАИ суждения'!G26</f>
        <v>4</v>
      </c>
      <c r="F191" s="8">
        <f>(PRODUCT(B191:E191))^(1/4)</f>
        <v>1.681792830507429</v>
      </c>
      <c r="G191" s="8">
        <f>F191/SUM($F$189:$F$192)</f>
        <v>0.37047364441880709</v>
      </c>
      <c r="H191" s="8">
        <f>(B191*$G$189+C191*$G$190+D191*$G$191+E191*$G$192)/G191</f>
        <v>4.0051747909256417</v>
      </c>
      <c r="I191" s="8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 t="s">
        <v>92</v>
      </c>
      <c r="B192" s="8">
        <f>1/'МАИ суждения'!G23</f>
        <v>0.33333333333333331</v>
      </c>
      <c r="C192" s="8">
        <f>1/'МАИ суждения'!G25</f>
        <v>0.5</v>
      </c>
      <c r="D192" s="8">
        <f>1/'МАИ суждения'!G26</f>
        <v>0.25</v>
      </c>
      <c r="E192" s="8">
        <f>1</f>
        <v>1</v>
      </c>
      <c r="F192" s="8">
        <f>(PRODUCT(B192:E192))^(1/4)</f>
        <v>0.45180100180492239</v>
      </c>
      <c r="G192" s="8">
        <f>F192/SUM($F$189:$F$192)</f>
        <v>9.9524959706384156E-2</v>
      </c>
      <c r="H192" s="8">
        <f>(B192*$G$189+C192*$G$190+D192*$G$191+E192*$G$192)/G192</f>
        <v>4.0159102565834512</v>
      </c>
      <c r="I192" s="8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7" t="s">
        <v>169</v>
      </c>
      <c r="B194" s="10">
        <f>AVERAGE(H189:H192)</f>
        <v>4.0103562764665641</v>
      </c>
      <c r="C194" s="7" t="s">
        <v>170</v>
      </c>
      <c r="D194" s="10">
        <f>(B194-4)/(4-1)</f>
        <v>3.4520921555213726E-3</v>
      </c>
      <c r="E194" s="7" t="s">
        <v>171</v>
      </c>
      <c r="F194" s="10">
        <f>D194/0.9</f>
        <v>3.8356579505793029E-3</v>
      </c>
      <c r="G194" s="7" t="s">
        <v>172</v>
      </c>
      <c r="H194" s="7" t="str">
        <f>IF(F194&lt;=0.1,"OK","Пересмотреть")</f>
        <v>OK</v>
      </c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25.95" customHeight="1">
      <c r="A200" s="19" t="s">
        <v>195</v>
      </c>
      <c r="B200" s="19"/>
      <c r="C200" s="19"/>
      <c r="D200" s="19"/>
      <c r="E200" s="19"/>
      <c r="F200" s="19"/>
      <c r="G200" s="19"/>
      <c r="H200" s="19"/>
      <c r="I200" s="19"/>
      <c r="J200" s="1"/>
      <c r="K200" s="1"/>
      <c r="L200" s="1"/>
      <c r="M200" s="1"/>
      <c r="N200" s="1"/>
      <c r="O200" s="1"/>
      <c r="P200" s="1"/>
      <c r="Q200" s="1"/>
    </row>
    <row r="201" spans="1:17" ht="30" customHeight="1">
      <c r="A201" s="2" t="s">
        <v>165</v>
      </c>
      <c r="B201" s="2" t="s">
        <v>33</v>
      </c>
      <c r="C201" s="2" t="s">
        <v>62</v>
      </c>
      <c r="D201" s="2" t="s">
        <v>78</v>
      </c>
      <c r="E201" s="2" t="s">
        <v>92</v>
      </c>
      <c r="F201" s="2" t="s">
        <v>166</v>
      </c>
      <c r="G201" s="2" t="s">
        <v>167</v>
      </c>
      <c r="H201" s="2" t="s">
        <v>168</v>
      </c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 t="s">
        <v>33</v>
      </c>
      <c r="B202" s="8">
        <f>1</f>
        <v>1</v>
      </c>
      <c r="C202" s="8">
        <f>'МАИ суждения'!G27</f>
        <v>1</v>
      </c>
      <c r="D202" s="8">
        <f>'МАИ суждения'!G28</f>
        <v>2</v>
      </c>
      <c r="E202" s="8">
        <f>'МАИ суждения'!G29</f>
        <v>4</v>
      </c>
      <c r="F202" s="8">
        <f>(PRODUCT(B202:E202))^(1/4)</f>
        <v>1.681792830507429</v>
      </c>
      <c r="G202" s="8">
        <f>F202/SUM($F$202:$F$205)</f>
        <v>0.35606412000683862</v>
      </c>
      <c r="H202" s="8">
        <f>(B202*$G$202+C202*$G$203+D202*$G$204+E202*$G$205)/G202</f>
        <v>4.0102839233101664</v>
      </c>
      <c r="I202" s="8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 t="s">
        <v>62</v>
      </c>
      <c r="B203" s="8">
        <f>1/'МАИ суждения'!G27</f>
        <v>1</v>
      </c>
      <c r="C203" s="8">
        <f>1</f>
        <v>1</v>
      </c>
      <c r="D203" s="8">
        <f>'МАИ суждения'!G30</f>
        <v>3</v>
      </c>
      <c r="E203" s="8">
        <f>'МАИ суждения'!G31</f>
        <v>4</v>
      </c>
      <c r="F203" s="8">
        <f>(PRODUCT(B203:E203))^(1/4)</f>
        <v>1.8612097182041991</v>
      </c>
      <c r="G203" s="8">
        <f>F203/SUM($F$202:$F$205)</f>
        <v>0.39404972386557385</v>
      </c>
      <c r="H203" s="8">
        <f>(B203*$G$202+C203*$G$203+D203*$G$204+E203*$G$205)/G203</f>
        <v>4.0319488786112787</v>
      </c>
      <c r="I203" s="8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 t="s">
        <v>78</v>
      </c>
      <c r="B204" s="8">
        <f>1/'МАИ суждения'!G28</f>
        <v>0.5</v>
      </c>
      <c r="C204" s="8">
        <f>1/'МАИ суждения'!G30</f>
        <v>0.33333333333333331</v>
      </c>
      <c r="D204" s="8">
        <f>1</f>
        <v>1</v>
      </c>
      <c r="E204" s="8">
        <f>'МАИ суждения'!G32</f>
        <v>2</v>
      </c>
      <c r="F204" s="8">
        <f>(PRODUCT(B204:E204))^(1/4)</f>
        <v>0.75983568565159254</v>
      </c>
      <c r="G204" s="8">
        <f>F204/SUM($F$202:$F$205)</f>
        <v>0.16087012612587781</v>
      </c>
      <c r="H204" s="8">
        <f>(B204*$G$202+C204*$G$203+D204*$G$204+E204*$G$205)/G204</f>
        <v>4.0298604203283697</v>
      </c>
      <c r="I204" s="8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 t="s">
        <v>92</v>
      </c>
      <c r="B205" s="8">
        <f>1/'МАИ суждения'!G29</f>
        <v>0.25</v>
      </c>
      <c r="C205" s="8">
        <f>1/'МАИ суждения'!G31</f>
        <v>0.25</v>
      </c>
      <c r="D205" s="8">
        <f>1/'МАИ суждения'!G32</f>
        <v>0.5</v>
      </c>
      <c r="E205" s="8">
        <f>1</f>
        <v>1</v>
      </c>
      <c r="F205" s="8">
        <f>(PRODUCT(B205:E205))^(1/4)</f>
        <v>0.42044820762685725</v>
      </c>
      <c r="G205" s="8">
        <f>F205/SUM($F$202:$F$205)</f>
        <v>8.9016030001709656E-2</v>
      </c>
      <c r="H205" s="8">
        <f>(B205*$G$202+C205*$G$203+D205*$G$204+E205*$G$205)/G205</f>
        <v>4.0102839233101664</v>
      </c>
      <c r="I205" s="8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7" t="s">
        <v>169</v>
      </c>
      <c r="B207" s="10">
        <f>AVERAGE(H202:H205)</f>
        <v>4.0205942863899953</v>
      </c>
      <c r="C207" s="7" t="s">
        <v>170</v>
      </c>
      <c r="D207" s="10">
        <f>(B207-4)/(4-1)</f>
        <v>6.8647621299984252E-3</v>
      </c>
      <c r="E207" s="7" t="s">
        <v>171</v>
      </c>
      <c r="F207" s="10">
        <f>D207/0.9</f>
        <v>7.6275134777760278E-3</v>
      </c>
      <c r="G207" s="7" t="s">
        <v>172</v>
      </c>
      <c r="H207" s="7" t="str">
        <f>IF(F207&lt;=0.1,"OK","Пересмотреть")</f>
        <v>OK</v>
      </c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25.95" customHeight="1">
      <c r="A213" s="19" t="s">
        <v>196</v>
      </c>
      <c r="B213" s="19"/>
      <c r="C213" s="19"/>
      <c r="D213" s="19"/>
      <c r="E213" s="19"/>
      <c r="F213" s="19"/>
      <c r="G213" s="19"/>
      <c r="H213" s="19"/>
      <c r="I213" s="19"/>
      <c r="J213" s="1"/>
      <c r="K213" s="1"/>
      <c r="L213" s="1"/>
      <c r="M213" s="1"/>
      <c r="N213" s="1"/>
      <c r="O213" s="1"/>
      <c r="P213" s="1"/>
      <c r="Q213" s="1"/>
    </row>
    <row r="214" spans="1:17" ht="30" customHeight="1">
      <c r="A214" s="2" t="s">
        <v>165</v>
      </c>
      <c r="B214" s="2" t="s">
        <v>33</v>
      </c>
      <c r="C214" s="2" t="s">
        <v>62</v>
      </c>
      <c r="D214" s="2" t="s">
        <v>78</v>
      </c>
      <c r="E214" s="2" t="s">
        <v>92</v>
      </c>
      <c r="F214" s="2" t="s">
        <v>166</v>
      </c>
      <c r="G214" s="2" t="s">
        <v>167</v>
      </c>
      <c r="H214" s="2" t="s">
        <v>168</v>
      </c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 t="s">
        <v>33</v>
      </c>
      <c r="B215" s="8">
        <f>1</f>
        <v>1</v>
      </c>
      <c r="C215" s="8">
        <f>'МАИ суждения'!G33</f>
        <v>1</v>
      </c>
      <c r="D215" s="8">
        <f>'МАИ суждения'!G34</f>
        <v>2</v>
      </c>
      <c r="E215" s="8">
        <f>'МАИ суждения'!G35</f>
        <v>4</v>
      </c>
      <c r="F215" s="8">
        <f>(PRODUCT(B215:E215))^(1/4)</f>
        <v>1.681792830507429</v>
      </c>
      <c r="G215" s="8">
        <f>F215/SUM($F$215:$F$218)</f>
        <v>0.37047364441880704</v>
      </c>
      <c r="H215" s="8">
        <f>(B215*$G$215+C215*$G$216+D215*$G$217+E215*$G$218)/G215</f>
        <v>4.0051747909256417</v>
      </c>
      <c r="I215" s="8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 t="s">
        <v>62</v>
      </c>
      <c r="B216" s="8">
        <f>1/'МАИ суждения'!G33</f>
        <v>1</v>
      </c>
      <c r="C216" s="8">
        <f>1</f>
        <v>1</v>
      </c>
      <c r="D216" s="8">
        <f>'МАИ суждения'!G36</f>
        <v>2</v>
      </c>
      <c r="E216" s="8">
        <f>'МАИ суждения'!G37</f>
        <v>3</v>
      </c>
      <c r="F216" s="8">
        <f>(PRODUCT(B216:E216))^(1/4)</f>
        <v>1.5650845800732873</v>
      </c>
      <c r="G216" s="8">
        <f>F216/SUM($F$215:$F$218)</f>
        <v>0.34476457366540525</v>
      </c>
      <c r="H216" s="8">
        <f>(B216*$G$215+C216*$G$216+D216*$G$217+E216*$G$218)/G216</f>
        <v>4.0151652674315228</v>
      </c>
      <c r="I216" s="8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 t="s">
        <v>78</v>
      </c>
      <c r="B217" s="8">
        <f>1/'МАИ суждения'!G34</f>
        <v>0.5</v>
      </c>
      <c r="C217" s="8">
        <f>1/'МАИ суждения'!G36</f>
        <v>0.5</v>
      </c>
      <c r="D217" s="8">
        <f>1</f>
        <v>1</v>
      </c>
      <c r="E217" s="8">
        <f>'МАИ суждения'!G38</f>
        <v>2</v>
      </c>
      <c r="F217" s="8">
        <f>(PRODUCT(B217:E217))^(1/4)</f>
        <v>0.8408964152537145</v>
      </c>
      <c r="G217" s="8">
        <f>F217/SUM($F$215:$F$218)</f>
        <v>0.18523682220940352</v>
      </c>
      <c r="H217" s="8">
        <f>(B217*$G$215+C217*$G$216+D217*$G$217+E217*$G$218)/G217</f>
        <v>4.0051747909256417</v>
      </c>
      <c r="I217" s="8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 t="s">
        <v>92</v>
      </c>
      <c r="B218" s="8">
        <f>1/'МАИ суждения'!G35</f>
        <v>0.25</v>
      </c>
      <c r="C218" s="8">
        <f>1/'МАИ суждения'!G37</f>
        <v>0.33333333333333331</v>
      </c>
      <c r="D218" s="8">
        <f>1/'МАИ суждения'!G38</f>
        <v>0.5</v>
      </c>
      <c r="E218" s="8">
        <f>1</f>
        <v>1</v>
      </c>
      <c r="F218" s="8">
        <f>(PRODUCT(B218:E218))^(1/4)</f>
        <v>0.45180100180492239</v>
      </c>
      <c r="G218" s="8">
        <f>F218/SUM($F$215:$F$218)</f>
        <v>9.9524959706384142E-2</v>
      </c>
      <c r="H218" s="8">
        <f>(B218*$G$215+C218*$G$216+D218*$G$217+E218*$G$218)/G218</f>
        <v>4.0159102565834504</v>
      </c>
      <c r="I218" s="8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7" t="s">
        <v>169</v>
      </c>
      <c r="B220" s="10">
        <f>AVERAGE(H215:H218)</f>
        <v>4.0103562764665641</v>
      </c>
      <c r="C220" s="7" t="s">
        <v>170</v>
      </c>
      <c r="D220" s="10">
        <f>(B220-4)/(4-1)</f>
        <v>3.4520921555213726E-3</v>
      </c>
      <c r="E220" s="7" t="s">
        <v>171</v>
      </c>
      <c r="F220" s="10">
        <f>D220/0.9</f>
        <v>3.8356579505793029E-3</v>
      </c>
      <c r="G220" s="7" t="s">
        <v>172</v>
      </c>
      <c r="H220" s="7" t="str">
        <f>IF(F220&lt;=0.1,"OK","Пересмотреть")</f>
        <v>OK</v>
      </c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25.95" customHeight="1">
      <c r="A226" s="19" t="s">
        <v>197</v>
      </c>
      <c r="B226" s="19"/>
      <c r="C226" s="19"/>
      <c r="D226" s="19"/>
      <c r="E226" s="19"/>
      <c r="F226" s="19"/>
      <c r="G226" s="19"/>
      <c r="H226" s="19"/>
      <c r="I226" s="19"/>
      <c r="J226" s="1"/>
      <c r="K226" s="1"/>
      <c r="L226" s="1"/>
      <c r="M226" s="1"/>
      <c r="N226" s="1"/>
      <c r="O226" s="1"/>
      <c r="P226" s="1"/>
      <c r="Q226" s="1"/>
    </row>
    <row r="227" spans="1:17" ht="30" customHeight="1">
      <c r="A227" s="2" t="s">
        <v>165</v>
      </c>
      <c r="B227" s="2" t="s">
        <v>33</v>
      </c>
      <c r="C227" s="2" t="s">
        <v>62</v>
      </c>
      <c r="D227" s="2" t="s">
        <v>78</v>
      </c>
      <c r="E227" s="2" t="s">
        <v>92</v>
      </c>
      <c r="F227" s="2" t="s">
        <v>166</v>
      </c>
      <c r="G227" s="2" t="s">
        <v>167</v>
      </c>
      <c r="H227" s="2" t="s">
        <v>168</v>
      </c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 t="s">
        <v>33</v>
      </c>
      <c r="B228" s="8">
        <f>1</f>
        <v>1</v>
      </c>
      <c r="C228" s="8">
        <f>'МАИ суждения'!G39</f>
        <v>0.25</v>
      </c>
      <c r="D228" s="8">
        <f>'МАИ суждения'!G40</f>
        <v>0.5</v>
      </c>
      <c r="E228" s="8">
        <f>'МАИ суждения'!G41</f>
        <v>0.2</v>
      </c>
      <c r="F228" s="8">
        <f>(PRODUCT(B228:E228))^(1/4)</f>
        <v>0.39763536438352531</v>
      </c>
      <c r="G228" s="8">
        <f>F228/SUM($F$228:$F$231)</f>
        <v>8.2893196859150822E-2</v>
      </c>
      <c r="H228" s="8">
        <f>(B228*$G$228+C228*$G$229+D228*$G$230+E228*$G$231)/G228</f>
        <v>4.0200436428646409</v>
      </c>
      <c r="I228" s="8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 t="s">
        <v>62</v>
      </c>
      <c r="B229" s="8">
        <f>1/'МАИ суждения'!G39</f>
        <v>4</v>
      </c>
      <c r="C229" s="8">
        <f>1</f>
        <v>1</v>
      </c>
      <c r="D229" s="8">
        <f>'МАИ суждения'!G42</f>
        <v>3</v>
      </c>
      <c r="E229" s="8">
        <f>'МАИ суждения'!G43</f>
        <v>1</v>
      </c>
      <c r="F229" s="8">
        <f>(PRODUCT(B229:E229))^(1/4)</f>
        <v>1.8612097182041991</v>
      </c>
      <c r="G229" s="8">
        <f>F229/SUM($F$228:$F$231)</f>
        <v>0.38799774211847599</v>
      </c>
      <c r="H229" s="8">
        <f>(B229*$G$228+C229*$G$229+D229*$G$230+E229*$G$231)/G229</f>
        <v>4.034761676388424</v>
      </c>
      <c r="I229" s="8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 t="s">
        <v>78</v>
      </c>
      <c r="B230" s="8">
        <f>1/'МАИ суждения'!G40</f>
        <v>2</v>
      </c>
      <c r="C230" s="8">
        <f>1/'МАИ суждения'!G42</f>
        <v>0.33333333333333331</v>
      </c>
      <c r="D230" s="8">
        <f>1</f>
        <v>1</v>
      </c>
      <c r="E230" s="8">
        <f>'МАИ суждения'!G44</f>
        <v>0.5</v>
      </c>
      <c r="F230" s="8">
        <f>(PRODUCT(B230:E230))^(1/4)</f>
        <v>0.75983568565159254</v>
      </c>
      <c r="G230" s="8">
        <f>F230/SUM($F$228:$F$231)</f>
        <v>0.15839941492370663</v>
      </c>
      <c r="H230" s="8">
        <f>(B230*$G$228+C230*$G$229+D230*$G$230+E230*$G$231)/G230</f>
        <v>4.0333053799801899</v>
      </c>
      <c r="I230" s="8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 t="s">
        <v>92</v>
      </c>
      <c r="B231" s="8">
        <f>1/'МАИ суждения'!G41</f>
        <v>5</v>
      </c>
      <c r="C231" s="8">
        <f>1/'МАИ суждения'!G43</f>
        <v>1</v>
      </c>
      <c r="D231" s="8">
        <f>1/'МАИ суждения'!G44</f>
        <v>2</v>
      </c>
      <c r="E231" s="8">
        <f>1</f>
        <v>1</v>
      </c>
      <c r="F231" s="8">
        <f>(PRODUCT(B231:E231))^(1/4)</f>
        <v>1.778279410038923</v>
      </c>
      <c r="G231" s="8">
        <f>F231/SUM($F$228:$F$231)</f>
        <v>0.37070964609866663</v>
      </c>
      <c r="H231" s="8">
        <f>(B231*$G$228+C231*$G$229+D231*$G$230+E231*$G$231)/G231</f>
        <v>4.0192431409344689</v>
      </c>
      <c r="I231" s="8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7" t="s">
        <v>169</v>
      </c>
      <c r="B233" s="10">
        <f>AVERAGE(H228:H231)</f>
        <v>4.0268384600419314</v>
      </c>
      <c r="C233" s="7" t="s">
        <v>170</v>
      </c>
      <c r="D233" s="10">
        <f>(B233-4)/(4-1)</f>
        <v>8.9461533473104513E-3</v>
      </c>
      <c r="E233" s="7" t="s">
        <v>171</v>
      </c>
      <c r="F233" s="10">
        <f>D233/0.9</f>
        <v>9.9401703859005007E-3</v>
      </c>
      <c r="G233" s="7" t="s">
        <v>172</v>
      </c>
      <c r="H233" s="7" t="str">
        <f>IF(F233&lt;=0.1,"OK","Пересмотреть")</f>
        <v>OK</v>
      </c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0">
    <mergeCell ref="A174:I174"/>
    <mergeCell ref="A187:I187"/>
    <mergeCell ref="A200:I200"/>
    <mergeCell ref="A213:I213"/>
    <mergeCell ref="A226:I226"/>
    <mergeCell ref="A109:I109"/>
    <mergeCell ref="A122:I122"/>
    <mergeCell ref="A135:I135"/>
    <mergeCell ref="A148:I148"/>
    <mergeCell ref="A161:I161"/>
    <mergeCell ref="A44:I44"/>
    <mergeCell ref="A57:I57"/>
    <mergeCell ref="A70:I70"/>
    <mergeCell ref="A83:I83"/>
    <mergeCell ref="A96:I96"/>
    <mergeCell ref="A1:I2"/>
    <mergeCell ref="A3:I3"/>
    <mergeCell ref="A5:I5"/>
    <mergeCell ref="A18:I18"/>
    <mergeCell ref="A31:I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60"/>
  <sheetViews>
    <sheetView workbookViewId="0">
      <pane ySplit="4" topLeftCell="A8" activePane="bottomLeft" state="frozen"/>
      <selection pane="bottomLeft" activeCell="I14" sqref="I14"/>
    </sheetView>
  </sheetViews>
  <sheetFormatPr defaultRowHeight="13.8"/>
  <cols>
    <col min="1" max="1" width="15" customWidth="1"/>
    <col min="2" max="3" width="22" customWidth="1"/>
    <col min="4" max="7" width="16" customWidth="1"/>
    <col min="8" max="8" width="22" customWidth="1"/>
    <col min="9" max="9" width="14" customWidth="1"/>
  </cols>
  <sheetData>
    <row r="1" spans="1:17" ht="24" customHeight="1">
      <c r="A1" s="17" t="s">
        <v>198</v>
      </c>
      <c r="B1" s="17"/>
      <c r="C1" s="17"/>
      <c r="D1" s="17"/>
      <c r="E1" s="17"/>
      <c r="F1" s="17"/>
      <c r="G1" s="17"/>
      <c r="H1" s="17"/>
      <c r="I1" s="17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"/>
      <c r="K2" s="1"/>
      <c r="L2" s="1"/>
      <c r="M2" s="1"/>
      <c r="N2" s="1"/>
      <c r="O2" s="1"/>
      <c r="P2" s="1"/>
      <c r="Q2" s="1"/>
    </row>
    <row r="3" spans="1:17" ht="25.95" customHeight="1">
      <c r="A3" s="19" t="s">
        <v>199</v>
      </c>
      <c r="B3" s="19"/>
      <c r="C3" s="19"/>
      <c r="D3" s="19"/>
      <c r="E3" s="19"/>
      <c r="F3" s="19"/>
      <c r="G3" s="19"/>
      <c r="H3" s="19"/>
      <c r="I3" s="19"/>
      <c r="J3" s="1"/>
      <c r="K3" s="1"/>
      <c r="L3" s="1"/>
      <c r="M3" s="1"/>
      <c r="N3" s="1"/>
      <c r="O3" s="1"/>
      <c r="P3" s="1"/>
      <c r="Q3" s="1"/>
    </row>
    <row r="4" spans="1:17" ht="30" customHeight="1">
      <c r="A4" s="2" t="s">
        <v>3</v>
      </c>
      <c r="B4" s="2" t="s">
        <v>200</v>
      </c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9.05" customHeight="1">
      <c r="A5" s="1" t="s">
        <v>6</v>
      </c>
      <c r="B5" s="8">
        <f>'МАИ матрицы'!H7</f>
        <v>0.31776855953232963</v>
      </c>
      <c r="C5" s="1" t="s">
        <v>117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9.05" customHeight="1">
      <c r="A6" s="1" t="s">
        <v>10</v>
      </c>
      <c r="B6" s="8">
        <f>'МАИ матрицы'!H8</f>
        <v>0.31776855953232963</v>
      </c>
      <c r="C6" s="1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9.05" customHeight="1">
      <c r="A7" s="1" t="s">
        <v>14</v>
      </c>
      <c r="B7" s="8">
        <f>'МАИ матрицы'!H9</f>
        <v>0.18108261629885167</v>
      </c>
      <c r="C7" s="1" t="s">
        <v>118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05" customHeight="1">
      <c r="A8" s="1" t="s">
        <v>18</v>
      </c>
      <c r="B8" s="8">
        <f>'МАИ матрицы'!H10</f>
        <v>0.1084476573732653</v>
      </c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9.05" customHeight="1">
      <c r="A9" s="1" t="s">
        <v>22</v>
      </c>
      <c r="B9" s="8">
        <f>'МАИ матрицы'!H11</f>
        <v>7.4932607263223844E-2</v>
      </c>
      <c r="C9" s="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9.05" customHeight="1">
      <c r="A10" s="1" t="s">
        <v>202</v>
      </c>
      <c r="B10" s="8">
        <f>SUM(B5:B9)</f>
        <v>1.0000000000000002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5.95" customHeight="1">
      <c r="A11" s="19" t="s">
        <v>203</v>
      </c>
      <c r="B11" s="19"/>
      <c r="C11" s="19"/>
      <c r="D11" s="19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  <c r="Q11" s="1"/>
    </row>
    <row r="12" spans="1:17" ht="30" customHeight="1">
      <c r="A12" s="2" t="s">
        <v>2</v>
      </c>
      <c r="B12" s="2" t="s">
        <v>29</v>
      </c>
      <c r="C12" s="2" t="s">
        <v>6</v>
      </c>
      <c r="D12" s="2" t="s">
        <v>10</v>
      </c>
      <c r="E12" s="2" t="s">
        <v>14</v>
      </c>
      <c r="F12" s="2" t="s">
        <v>18</v>
      </c>
      <c r="G12" s="2" t="s">
        <v>22</v>
      </c>
      <c r="H12" s="2" t="s">
        <v>204</v>
      </c>
      <c r="I12" s="2" t="s">
        <v>152</v>
      </c>
      <c r="J12" s="1"/>
      <c r="K12" s="1"/>
      <c r="L12" s="1"/>
      <c r="M12" s="1"/>
      <c r="N12" s="1"/>
      <c r="O12" s="1"/>
      <c r="P12" s="1"/>
      <c r="Q12" s="1"/>
    </row>
    <row r="13" spans="1:17" ht="19.05" customHeight="1">
      <c r="A13" s="1" t="s">
        <v>33</v>
      </c>
      <c r="B13" s="1" t="s">
        <v>34</v>
      </c>
      <c r="C13" s="8">
        <f>'МАИ матрицы'!G20</f>
        <v>0.19001263144278555</v>
      </c>
      <c r="D13" s="8">
        <f>'МАИ матрицы'!G33</f>
        <v>0.35618123562386916</v>
      </c>
      <c r="E13" s="8">
        <f>'МАИ матрицы'!G46</f>
        <v>0.35500544039742155</v>
      </c>
      <c r="F13" s="8">
        <f>'МАИ матрицы'!G59</f>
        <v>0.35546295618456941</v>
      </c>
      <c r="G13" s="8">
        <f>'МАИ матрицы'!G72</f>
        <v>8.5021175895957563E-2</v>
      </c>
      <c r="H13" s="8">
        <f>C13*$B$5+D13*$B$6+E13*$B$7+F13*$B$8+G13*$B$9</f>
        <v>0.28276853557431625</v>
      </c>
      <c r="I13" s="1">
        <f>RANK(H13,$H$13:$H$16,0)</f>
        <v>2</v>
      </c>
      <c r="J13" s="1"/>
      <c r="K13" s="1"/>
      <c r="L13" s="1"/>
      <c r="M13" s="1"/>
      <c r="N13" s="1"/>
      <c r="O13" s="1"/>
      <c r="P13" s="1"/>
      <c r="Q13" s="1"/>
    </row>
    <row r="14" spans="1:17" ht="19.05" customHeight="1">
      <c r="A14" s="1" t="s">
        <v>62</v>
      </c>
      <c r="B14" s="1" t="s">
        <v>63</v>
      </c>
      <c r="C14" s="8">
        <f>'МАИ матрицы'!G21</f>
        <v>0.43077138272169346</v>
      </c>
      <c r="D14" s="8">
        <f>'МАИ матрицы'!G34</f>
        <v>0.18868043702339085</v>
      </c>
      <c r="E14" s="8">
        <f>'МАИ матрицы'!G47</f>
        <v>0.3761151623978366</v>
      </c>
      <c r="F14" s="8">
        <f>'МАИ матрицы'!G60</f>
        <v>0.35546295618456941</v>
      </c>
      <c r="G14" s="8">
        <f>'МАИ матрицы'!G73</f>
        <v>0.37069051708699458</v>
      </c>
      <c r="H14" s="8">
        <f>C14*$B$5+D14*$B$6+E14*$B$7+F14*$B$8+G14*$B$9</f>
        <v>0.33127616191101683</v>
      </c>
      <c r="I14" s="1">
        <f>RANK(H14,$H$13:$H$16,0)</f>
        <v>1</v>
      </c>
      <c r="J14" s="1"/>
      <c r="K14" s="1"/>
      <c r="L14" s="1"/>
      <c r="M14" s="1"/>
      <c r="N14" s="1"/>
      <c r="O14" s="1"/>
      <c r="P14" s="1"/>
      <c r="Q14" s="1"/>
    </row>
    <row r="15" spans="1:17" ht="19.05" customHeight="1">
      <c r="A15" s="1" t="s">
        <v>78</v>
      </c>
      <c r="B15" s="1" t="s">
        <v>79</v>
      </c>
      <c r="C15" s="8">
        <f>'МАИ матрицы'!G22</f>
        <v>0.12557955258996875</v>
      </c>
      <c r="D15" s="8">
        <f>'МАИ матрицы'!G35</f>
        <v>0.36482332532035988</v>
      </c>
      <c r="E15" s="8">
        <f>'МАИ матрицы'!G48</f>
        <v>0.1757690084253492</v>
      </c>
      <c r="F15" s="8">
        <f>'МАИ матрицы'!G61</f>
        <v>0.18646077091081056</v>
      </c>
      <c r="G15" s="8">
        <f>'МАИ матрицы'!G74</f>
        <v>0.17918729313155518</v>
      </c>
      <c r="H15" s="8">
        <f>C15*$B$5+D15*$B$6+E15*$B$7+F15*$B$8+G15*$B$9</f>
        <v>0.22131153287406868</v>
      </c>
      <c r="I15" s="1">
        <f>RANK(H15,$H$13:$H$16,0)</f>
        <v>3</v>
      </c>
      <c r="J15" s="1"/>
      <c r="K15" s="1"/>
      <c r="L15" s="1"/>
      <c r="M15" s="1"/>
      <c r="N15" s="1"/>
      <c r="O15" s="1"/>
      <c r="P15" s="1"/>
      <c r="Q15" s="1"/>
    </row>
    <row r="16" spans="1:17" ht="19.05" customHeight="1">
      <c r="A16" s="1" t="s">
        <v>92</v>
      </c>
      <c r="B16" s="1" t="s">
        <v>93</v>
      </c>
      <c r="C16" s="8">
        <f>'МАИ матрицы'!G23</f>
        <v>0.2536364332455523</v>
      </c>
      <c r="D16" s="8">
        <f>'МАИ матрицы'!G36</f>
        <v>9.0315002032380146E-2</v>
      </c>
      <c r="E16" s="8">
        <f>'МАИ матрицы'!G49</f>
        <v>9.3110388779392775E-2</v>
      </c>
      <c r="F16" s="8">
        <f>'МАИ матрицы'!G62</f>
        <v>0.10261331672005067</v>
      </c>
      <c r="G16" s="8">
        <f>'МАИ матрицы'!G75</f>
        <v>0.3651010138854926</v>
      </c>
      <c r="H16" s="8">
        <f>C16*$B$5+D16*$B$6+E16*$B$7+F16*$B$8+G16*$B$9</f>
        <v>0.16464376964059846</v>
      </c>
      <c r="I16" s="1">
        <f>RANK(H16,$H$13:$H$16,0)</f>
        <v>4</v>
      </c>
      <c r="J16" s="1"/>
      <c r="K16" s="1"/>
      <c r="L16" s="1"/>
      <c r="M16" s="1"/>
      <c r="N16" s="1"/>
      <c r="O16" s="1"/>
      <c r="P16" s="1"/>
      <c r="Q16" s="1"/>
    </row>
    <row r="17" spans="1:17" ht="19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9.05" customHeight="1">
      <c r="A18" s="1"/>
      <c r="B18" s="1" t="s">
        <v>205</v>
      </c>
      <c r="C18" s="1"/>
      <c r="D18" s="1"/>
      <c r="E18" s="1"/>
      <c r="F18" s="1"/>
      <c r="G18" s="1"/>
      <c r="H18" s="1">
        <f>SUM(H13:H16)</f>
        <v>1.0000000000000002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9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5.95" customHeight="1">
      <c r="A20" s="19" t="s">
        <v>206</v>
      </c>
      <c r="B20" s="19"/>
      <c r="C20" s="19"/>
      <c r="D20" s="19"/>
      <c r="E20" s="19"/>
      <c r="F20" s="19"/>
      <c r="G20" s="19"/>
      <c r="H20" s="19"/>
      <c r="I20" s="19"/>
      <c r="J20" s="1"/>
      <c r="K20" s="1"/>
      <c r="L20" s="1"/>
      <c r="M20" s="1"/>
      <c r="N20" s="1"/>
      <c r="O20" s="1"/>
      <c r="P20" s="1"/>
      <c r="Q20" s="1"/>
    </row>
    <row r="21" spans="1:17" ht="30" customHeight="1">
      <c r="A21" s="2" t="s">
        <v>155</v>
      </c>
      <c r="B21" s="2" t="s">
        <v>171</v>
      </c>
      <c r="C21" s="2" t="s">
        <v>207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 t="s">
        <v>160</v>
      </c>
      <c r="B22" s="8">
        <f>'МАИ матрицы'!F13</f>
        <v>1.2530541627172953E-2</v>
      </c>
      <c r="C22" s="1" t="str">
        <f t="shared" ref="C22:C27" si="0">IF(B22&lt;=0.1,"OK","Пересмотреть")</f>
        <v>OK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 t="s">
        <v>6</v>
      </c>
      <c r="B23" s="8">
        <f>'МАИ матрицы'!F25</f>
        <v>7.0802389655368718E-3</v>
      </c>
      <c r="C23" s="1" t="str">
        <f t="shared" si="0"/>
        <v>OK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 t="s">
        <v>10</v>
      </c>
      <c r="B24" s="8">
        <f>'МАИ матрицы'!F38</f>
        <v>1.8724254383918873E-3</v>
      </c>
      <c r="C24" s="1" t="str">
        <f t="shared" si="0"/>
        <v>OK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1" t="s">
        <v>14</v>
      </c>
      <c r="B25" s="8">
        <f>'МАИ матрицы'!F51</f>
        <v>1.2717879210144144E-3</v>
      </c>
      <c r="C25" s="1" t="str">
        <f t="shared" si="0"/>
        <v>OK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 t="s">
        <v>18</v>
      </c>
      <c r="B26" s="8">
        <f>'МАИ матрицы'!F64</f>
        <v>1.7037165174645971E-3</v>
      </c>
      <c r="C26" s="1" t="str">
        <f t="shared" si="0"/>
        <v>OK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 t="s">
        <v>22</v>
      </c>
      <c r="B27" s="8">
        <f>'МАИ матрицы'!F77</f>
        <v>2.3293920641409968E-3</v>
      </c>
      <c r="C27" s="1" t="str">
        <f t="shared" si="0"/>
        <v>OK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5.95" customHeight="1">
      <c r="A29" s="19" t="s">
        <v>208</v>
      </c>
      <c r="B29" s="19"/>
      <c r="C29" s="19"/>
      <c r="D29" s="19"/>
      <c r="E29" s="19"/>
      <c r="F29" s="19"/>
      <c r="G29" s="19"/>
      <c r="H29" s="19"/>
      <c r="I29" s="19"/>
      <c r="J29" s="1"/>
      <c r="K29" s="1"/>
      <c r="L29" s="1"/>
      <c r="M29" s="1"/>
      <c r="N29" s="1"/>
      <c r="O29" s="1"/>
      <c r="P29" s="1"/>
      <c r="Q29" s="1"/>
    </row>
    <row r="30" spans="1:17" ht="30" customHeight="1">
      <c r="A30" s="2" t="s">
        <v>209</v>
      </c>
      <c r="B30" s="2" t="s">
        <v>155</v>
      </c>
      <c r="C30" s="2" t="s">
        <v>171</v>
      </c>
      <c r="D30" s="2" t="s">
        <v>207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9.05" customHeight="1">
      <c r="A31" s="1" t="s">
        <v>109</v>
      </c>
      <c r="B31" s="1" t="s">
        <v>160</v>
      </c>
      <c r="C31" s="8">
        <f>'МАИ проверки'!F13</f>
        <v>8.1086519427629924E-3</v>
      </c>
      <c r="D31" s="1" t="str">
        <f t="shared" ref="D31:D48" si="1">IF(C31&lt;=0.1,"OK","Пересмотреть")</f>
        <v>OK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05" customHeight="1">
      <c r="A32" s="1" t="s">
        <v>109</v>
      </c>
      <c r="B32" s="1" t="s">
        <v>6</v>
      </c>
      <c r="C32" s="8">
        <f>'МАИ проверки'!F25</f>
        <v>3.8356579505789742E-3</v>
      </c>
      <c r="D32" s="1" t="str">
        <f t="shared" si="1"/>
        <v>OK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 t="s">
        <v>109</v>
      </c>
      <c r="B33" s="1" t="s">
        <v>10</v>
      </c>
      <c r="C33" s="8">
        <f>'МАИ проверки'!F38</f>
        <v>0</v>
      </c>
      <c r="D33" s="1" t="str">
        <f t="shared" si="1"/>
        <v>OK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 t="s">
        <v>109</v>
      </c>
      <c r="B34" s="1" t="s">
        <v>14</v>
      </c>
      <c r="C34" s="8">
        <f>'МАИ проверки'!F51</f>
        <v>0</v>
      </c>
      <c r="D34" s="1" t="str">
        <f t="shared" si="1"/>
        <v>OK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 t="s">
        <v>109</v>
      </c>
      <c r="B35" s="1" t="s">
        <v>18</v>
      </c>
      <c r="C35" s="8">
        <f>'МАИ проверки'!F64</f>
        <v>3.8356579505793029E-3</v>
      </c>
      <c r="D35" s="1" t="str">
        <f t="shared" si="1"/>
        <v>OK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 t="s">
        <v>109</v>
      </c>
      <c r="B36" s="1" t="s">
        <v>22</v>
      </c>
      <c r="C36" s="8">
        <f>'МАИ проверки'!F77</f>
        <v>0</v>
      </c>
      <c r="D36" s="1" t="str">
        <f t="shared" si="1"/>
        <v>OK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 t="s">
        <v>110</v>
      </c>
      <c r="B37" s="1" t="s">
        <v>160</v>
      </c>
      <c r="C37" s="8">
        <f>'МАИ проверки'!F91</f>
        <v>1.3096703436529402E-2</v>
      </c>
      <c r="D37" s="1" t="str">
        <f t="shared" si="1"/>
        <v>OK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 t="s">
        <v>110</v>
      </c>
      <c r="B38" s="1" t="s">
        <v>6</v>
      </c>
      <c r="C38" s="8">
        <f>'МАИ проверки'!F103</f>
        <v>1.6922921943863346E-2</v>
      </c>
      <c r="D38" s="1" t="str">
        <f t="shared" si="1"/>
        <v>OK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 t="s">
        <v>110</v>
      </c>
      <c r="B39" s="1" t="s">
        <v>10</v>
      </c>
      <c r="C39" s="8">
        <f>'МАИ проверки'!F116</f>
        <v>7.6275134777760278E-3</v>
      </c>
      <c r="D39" s="1" t="str">
        <f t="shared" si="1"/>
        <v>OK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 t="s">
        <v>110</v>
      </c>
      <c r="B40" s="1" t="s">
        <v>14</v>
      </c>
      <c r="C40" s="8">
        <f>'МАИ проверки'!F129</f>
        <v>3.8356579505793029E-3</v>
      </c>
      <c r="D40" s="1" t="str">
        <f t="shared" si="1"/>
        <v>OK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 t="s">
        <v>110</v>
      </c>
      <c r="B41" s="1" t="s">
        <v>18</v>
      </c>
      <c r="C41" s="8">
        <f>'МАИ проверки'!F142</f>
        <v>3.8356579505793029E-3</v>
      </c>
      <c r="D41" s="1" t="str">
        <f t="shared" si="1"/>
        <v>OK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 t="s">
        <v>110</v>
      </c>
      <c r="B42" s="1" t="s">
        <v>22</v>
      </c>
      <c r="C42" s="8">
        <f>'МАИ проверки'!F155</f>
        <v>7.627513477775699E-3</v>
      </c>
      <c r="D42" s="1" t="str">
        <f t="shared" si="1"/>
        <v>OK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 t="s">
        <v>111</v>
      </c>
      <c r="B43" s="1" t="s">
        <v>160</v>
      </c>
      <c r="C43" s="8">
        <f>'МАИ проверки'!F169</f>
        <v>2.3864874224670457E-2</v>
      </c>
      <c r="D43" s="1" t="str">
        <f t="shared" si="1"/>
        <v>OK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9.05" customHeight="1">
      <c r="A44" s="1" t="s">
        <v>111</v>
      </c>
      <c r="B44" s="1" t="s">
        <v>6</v>
      </c>
      <c r="C44" s="8">
        <f>'МАИ проверки'!F181</f>
        <v>2.2382820794943338E-2</v>
      </c>
      <c r="D44" s="1" t="str">
        <f t="shared" si="1"/>
        <v>OK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1" t="s">
        <v>111</v>
      </c>
      <c r="B45" s="1" t="s">
        <v>10</v>
      </c>
      <c r="C45" s="8">
        <f>'МАИ проверки'!F194</f>
        <v>3.8356579505793029E-3</v>
      </c>
      <c r="D45" s="1" t="str">
        <f t="shared" si="1"/>
        <v>OK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 t="s">
        <v>111</v>
      </c>
      <c r="B46" s="1" t="s">
        <v>14</v>
      </c>
      <c r="C46" s="8">
        <f>'МАИ проверки'!F207</f>
        <v>7.6275134777760278E-3</v>
      </c>
      <c r="D46" s="1" t="str">
        <f t="shared" si="1"/>
        <v>OK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 t="s">
        <v>111</v>
      </c>
      <c r="B47" s="1" t="s">
        <v>18</v>
      </c>
      <c r="C47" s="8">
        <f>'МАИ проверки'!F220</f>
        <v>3.8356579505793029E-3</v>
      </c>
      <c r="D47" s="1" t="str">
        <f t="shared" si="1"/>
        <v>OK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 t="s">
        <v>111</v>
      </c>
      <c r="B48" s="1" t="s">
        <v>22</v>
      </c>
      <c r="C48" s="8">
        <f>'МАИ проверки'!F233</f>
        <v>9.9401703859005007E-3</v>
      </c>
      <c r="D48" s="1" t="str">
        <f t="shared" si="1"/>
        <v>OK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5">
    <mergeCell ref="A1:I2"/>
    <mergeCell ref="A3:I3"/>
    <mergeCell ref="A11:I11"/>
    <mergeCell ref="A20:I20"/>
    <mergeCell ref="A29:I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60"/>
  <sheetViews>
    <sheetView tabSelected="1" workbookViewId="0">
      <pane ySplit="4" topLeftCell="A5" activePane="bottomLeft" state="frozen"/>
      <selection pane="bottomLeft" activeCell="J8" sqref="J8"/>
    </sheetView>
  </sheetViews>
  <sheetFormatPr defaultRowHeight="13.8"/>
  <cols>
    <col min="1" max="1" width="10" customWidth="1"/>
    <col min="2" max="2" width="47" customWidth="1"/>
    <col min="3" max="4" width="18" customWidth="1"/>
    <col min="5" max="7" width="15" customWidth="1"/>
    <col min="8" max="8" width="17" customWidth="1"/>
    <col min="9" max="9" width="14" customWidth="1"/>
    <col min="10" max="10" width="31" customWidth="1"/>
  </cols>
  <sheetData>
    <row r="1" spans="1:17" ht="24" customHeight="1">
      <c r="A1" s="17" t="s">
        <v>210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  <c r="Q2" s="1"/>
    </row>
    <row r="3" spans="1:17" ht="19.0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"/>
      <c r="L3" s="1"/>
      <c r="M3" s="1"/>
      <c r="N3" s="1"/>
      <c r="O3" s="1"/>
      <c r="P3" s="1"/>
      <c r="Q3" s="1"/>
    </row>
    <row r="4" spans="1:17" ht="30" customHeight="1">
      <c r="A4" s="2" t="s">
        <v>211</v>
      </c>
      <c r="B4" s="2" t="s">
        <v>212</v>
      </c>
      <c r="C4" s="2" t="s">
        <v>213</v>
      </c>
      <c r="D4" s="2" t="s">
        <v>214</v>
      </c>
      <c r="E4" s="2" t="s">
        <v>215</v>
      </c>
      <c r="F4" s="2" t="s">
        <v>216</v>
      </c>
      <c r="G4" s="2" t="s">
        <v>217</v>
      </c>
      <c r="H4" s="2" t="s">
        <v>218</v>
      </c>
      <c r="I4" s="2" t="s">
        <v>172</v>
      </c>
      <c r="J4" s="2" t="s">
        <v>219</v>
      </c>
      <c r="K4" s="1"/>
      <c r="L4" s="1"/>
      <c r="M4" s="1"/>
      <c r="N4" s="1"/>
      <c r="O4" s="1"/>
      <c r="P4" s="1"/>
      <c r="Q4" s="1"/>
    </row>
    <row r="5" spans="1:17" ht="34.049999999999997" customHeight="1">
      <c r="A5" s="1" t="s">
        <v>220</v>
      </c>
      <c r="B5" s="3" t="s">
        <v>221</v>
      </c>
      <c r="C5" s="13">
        <v>46309</v>
      </c>
      <c r="D5" s="13">
        <v>46309</v>
      </c>
      <c r="E5" s="16">
        <v>0.5</v>
      </c>
      <c r="F5" s="16">
        <v>0.5</v>
      </c>
      <c r="G5" s="16">
        <v>0.5</v>
      </c>
      <c r="H5" s="14">
        <f t="shared" ref="H5:H19" si="0">SUM(E5:G5)</f>
        <v>1.5</v>
      </c>
      <c r="I5" s="21" t="s">
        <v>317</v>
      </c>
      <c r="J5" s="3" t="s">
        <v>222</v>
      </c>
      <c r="K5" s="1"/>
      <c r="L5" s="1"/>
      <c r="M5" s="1"/>
      <c r="N5" s="1"/>
      <c r="O5" s="1"/>
      <c r="P5" s="1"/>
      <c r="Q5" s="1"/>
    </row>
    <row r="6" spans="1:17" ht="34.049999999999997" customHeight="1">
      <c r="A6" s="1" t="s">
        <v>223</v>
      </c>
      <c r="B6" s="3" t="s">
        <v>224</v>
      </c>
      <c r="C6" s="13">
        <v>46309</v>
      </c>
      <c r="D6" s="13">
        <v>46309</v>
      </c>
      <c r="E6" s="16">
        <v>1.4</v>
      </c>
      <c r="F6" s="16">
        <v>0</v>
      </c>
      <c r="G6" s="16">
        <v>0</v>
      </c>
      <c r="H6" s="14">
        <f t="shared" si="0"/>
        <v>1.4</v>
      </c>
      <c r="I6" s="21" t="s">
        <v>317</v>
      </c>
      <c r="J6" s="3" t="s">
        <v>225</v>
      </c>
      <c r="K6" s="1"/>
      <c r="L6" s="1"/>
      <c r="M6" s="1"/>
      <c r="N6" s="1"/>
      <c r="O6" s="1"/>
      <c r="P6" s="1"/>
      <c r="Q6" s="1"/>
    </row>
    <row r="7" spans="1:17" ht="34.049999999999997" customHeight="1">
      <c r="A7" s="1" t="s">
        <v>226</v>
      </c>
      <c r="B7" s="3" t="s">
        <v>227</v>
      </c>
      <c r="C7" s="13">
        <v>46309</v>
      </c>
      <c r="D7" s="13">
        <v>46309</v>
      </c>
      <c r="E7" s="16">
        <v>0</v>
      </c>
      <c r="F7" s="16">
        <v>1.4</v>
      </c>
      <c r="G7" s="16">
        <v>0</v>
      </c>
      <c r="H7" s="14">
        <f t="shared" si="0"/>
        <v>1.4</v>
      </c>
      <c r="I7" s="21" t="s">
        <v>317</v>
      </c>
      <c r="J7" s="3" t="s">
        <v>228</v>
      </c>
      <c r="K7" s="1"/>
      <c r="L7" s="1"/>
      <c r="M7" s="1"/>
      <c r="N7" s="1"/>
      <c r="O7" s="1"/>
      <c r="P7" s="1"/>
      <c r="Q7" s="1"/>
    </row>
    <row r="8" spans="1:17" ht="34.049999999999997" customHeight="1">
      <c r="A8" s="1" t="s">
        <v>229</v>
      </c>
      <c r="B8" s="3" t="s">
        <v>230</v>
      </c>
      <c r="C8" s="13">
        <v>46310</v>
      </c>
      <c r="D8" s="13">
        <v>46310</v>
      </c>
      <c r="E8" s="16">
        <v>0.4</v>
      </c>
      <c r="F8" s="16">
        <v>0</v>
      </c>
      <c r="G8" s="16">
        <v>1</v>
      </c>
      <c r="H8" s="14">
        <f t="shared" si="0"/>
        <v>1.4</v>
      </c>
      <c r="I8" s="21" t="s">
        <v>317</v>
      </c>
      <c r="J8" s="3" t="s">
        <v>231</v>
      </c>
      <c r="K8" s="1"/>
      <c r="L8" s="1"/>
      <c r="M8" s="1"/>
      <c r="N8" s="1"/>
      <c r="O8" s="1"/>
      <c r="P8" s="1"/>
      <c r="Q8" s="1"/>
    </row>
    <row r="9" spans="1:17" ht="34.049999999999997" customHeight="1">
      <c r="A9" s="1" t="s">
        <v>232</v>
      </c>
      <c r="B9" s="3" t="s">
        <v>233</v>
      </c>
      <c r="C9" s="13">
        <v>46310</v>
      </c>
      <c r="D9" s="13">
        <v>46310</v>
      </c>
      <c r="E9" s="16">
        <v>0</v>
      </c>
      <c r="F9" s="16">
        <v>0.4</v>
      </c>
      <c r="G9" s="16">
        <v>1</v>
      </c>
      <c r="H9" s="14">
        <f t="shared" si="0"/>
        <v>1.4</v>
      </c>
      <c r="I9" s="21" t="s">
        <v>317</v>
      </c>
      <c r="J9" s="3" t="s">
        <v>234</v>
      </c>
      <c r="K9" s="1"/>
      <c r="L9" s="1"/>
      <c r="M9" s="1"/>
      <c r="N9" s="1"/>
      <c r="O9" s="1"/>
      <c r="P9" s="1"/>
      <c r="Q9" s="1"/>
    </row>
    <row r="10" spans="1:17" ht="34.049999999999997" customHeight="1">
      <c r="A10" s="1" t="s">
        <v>235</v>
      </c>
      <c r="B10" s="3" t="s">
        <v>236</v>
      </c>
      <c r="C10" s="13">
        <v>46310</v>
      </c>
      <c r="D10" s="13">
        <v>46310</v>
      </c>
      <c r="E10" s="16">
        <v>1.1000000000000001</v>
      </c>
      <c r="F10" s="16">
        <v>0.4</v>
      </c>
      <c r="G10" s="16">
        <v>0.4</v>
      </c>
      <c r="H10" s="14">
        <f t="shared" si="0"/>
        <v>1.9</v>
      </c>
      <c r="I10" s="21" t="s">
        <v>317</v>
      </c>
      <c r="J10" s="3" t="s">
        <v>164</v>
      </c>
      <c r="K10" s="1"/>
      <c r="L10" s="1"/>
      <c r="M10" s="1"/>
      <c r="N10" s="1"/>
      <c r="O10" s="1"/>
      <c r="P10" s="1"/>
      <c r="Q10" s="1"/>
    </row>
    <row r="11" spans="1:17" ht="34.049999999999997" customHeight="1">
      <c r="A11" s="1" t="s">
        <v>237</v>
      </c>
      <c r="B11" s="3" t="s">
        <v>238</v>
      </c>
      <c r="C11" s="13">
        <v>46310</v>
      </c>
      <c r="D11" s="13">
        <v>46311</v>
      </c>
      <c r="E11" s="16">
        <v>0.8</v>
      </c>
      <c r="F11" s="16">
        <v>0.8</v>
      </c>
      <c r="G11" s="16">
        <v>0.8</v>
      </c>
      <c r="H11" s="14">
        <f t="shared" si="0"/>
        <v>2.4000000000000004</v>
      </c>
      <c r="I11" s="21" t="s">
        <v>317</v>
      </c>
      <c r="J11" s="3" t="s">
        <v>239</v>
      </c>
      <c r="K11" s="1"/>
      <c r="L11" s="1"/>
      <c r="M11" s="1"/>
      <c r="N11" s="1"/>
      <c r="O11" s="1"/>
      <c r="P11" s="1"/>
      <c r="Q11" s="1"/>
    </row>
    <row r="12" spans="1:17" ht="34.049999999999997" customHeight="1">
      <c r="A12" s="1" t="s">
        <v>240</v>
      </c>
      <c r="B12" s="3" t="s">
        <v>241</v>
      </c>
      <c r="C12" s="13">
        <v>46311</v>
      </c>
      <c r="D12" s="13">
        <v>46312</v>
      </c>
      <c r="E12" s="16">
        <v>0.2</v>
      </c>
      <c r="F12" s="16">
        <v>2.2000000000000002</v>
      </c>
      <c r="G12" s="16">
        <v>0.3</v>
      </c>
      <c r="H12" s="14">
        <f t="shared" si="0"/>
        <v>2.7</v>
      </c>
      <c r="I12" s="21" t="s">
        <v>317</v>
      </c>
      <c r="J12" s="3" t="s">
        <v>242</v>
      </c>
      <c r="K12" s="1"/>
      <c r="L12" s="1"/>
      <c r="M12" s="1"/>
      <c r="N12" s="1"/>
      <c r="O12" s="1"/>
      <c r="P12" s="1"/>
      <c r="Q12" s="1"/>
    </row>
    <row r="13" spans="1:17" ht="34.049999999999997" customHeight="1">
      <c r="A13" s="1" t="s">
        <v>243</v>
      </c>
      <c r="B13" s="3" t="s">
        <v>244</v>
      </c>
      <c r="C13" s="13">
        <v>46311</v>
      </c>
      <c r="D13" s="13">
        <v>46312</v>
      </c>
      <c r="E13" s="16">
        <v>1.2</v>
      </c>
      <c r="F13" s="16">
        <v>1.2</v>
      </c>
      <c r="G13" s="16">
        <v>1.2</v>
      </c>
      <c r="H13" s="14">
        <f t="shared" si="0"/>
        <v>3.5999999999999996</v>
      </c>
      <c r="I13" s="21" t="s">
        <v>317</v>
      </c>
      <c r="J13" s="3" t="s">
        <v>245</v>
      </c>
      <c r="K13" s="1"/>
      <c r="L13" s="1"/>
      <c r="M13" s="1"/>
      <c r="N13" s="1"/>
      <c r="O13" s="1"/>
      <c r="P13" s="1"/>
      <c r="Q13" s="1"/>
    </row>
    <row r="14" spans="1:17" ht="34.049999999999997" customHeight="1">
      <c r="A14" s="1" t="s">
        <v>246</v>
      </c>
      <c r="B14" s="3" t="s">
        <v>247</v>
      </c>
      <c r="C14" s="13">
        <v>46312</v>
      </c>
      <c r="D14" s="13">
        <v>46313</v>
      </c>
      <c r="E14" s="16">
        <v>0.2</v>
      </c>
      <c r="F14" s="16">
        <v>0.3</v>
      </c>
      <c r="G14" s="16">
        <v>2.2999999999999998</v>
      </c>
      <c r="H14" s="14">
        <f t="shared" si="0"/>
        <v>2.8</v>
      </c>
      <c r="I14" s="21" t="s">
        <v>317</v>
      </c>
      <c r="J14" s="3" t="s">
        <v>248</v>
      </c>
      <c r="K14" s="1"/>
      <c r="L14" s="1"/>
      <c r="M14" s="1"/>
      <c r="N14" s="1"/>
      <c r="O14" s="1"/>
      <c r="P14" s="1"/>
      <c r="Q14" s="1"/>
    </row>
    <row r="15" spans="1:17" ht="34.049999999999997" customHeight="1">
      <c r="A15" s="1" t="s">
        <v>249</v>
      </c>
      <c r="B15" s="3" t="s">
        <v>250</v>
      </c>
      <c r="C15" s="13">
        <v>46313</v>
      </c>
      <c r="D15" s="13">
        <v>46313</v>
      </c>
      <c r="E15" s="16">
        <v>0.4</v>
      </c>
      <c r="F15" s="16">
        <v>0.9</v>
      </c>
      <c r="G15" s="16">
        <v>0.7</v>
      </c>
      <c r="H15" s="14">
        <f t="shared" si="0"/>
        <v>2</v>
      </c>
      <c r="I15" s="21" t="s">
        <v>317</v>
      </c>
      <c r="J15" s="3" t="s">
        <v>251</v>
      </c>
      <c r="K15" s="1"/>
      <c r="L15" s="1"/>
      <c r="M15" s="1"/>
      <c r="N15" s="1"/>
      <c r="O15" s="1"/>
      <c r="P15" s="1"/>
      <c r="Q15" s="1"/>
    </row>
    <row r="16" spans="1:17" ht="34.049999999999997" customHeight="1">
      <c r="A16" s="1" t="s">
        <v>252</v>
      </c>
      <c r="B16" s="3" t="s">
        <v>253</v>
      </c>
      <c r="C16" s="13">
        <v>46313</v>
      </c>
      <c r="D16" s="13">
        <v>46313</v>
      </c>
      <c r="E16" s="16">
        <v>0.5</v>
      </c>
      <c r="F16" s="16">
        <v>0.5</v>
      </c>
      <c r="G16" s="16">
        <v>0.5</v>
      </c>
      <c r="H16" s="14">
        <f t="shared" si="0"/>
        <v>1.5</v>
      </c>
      <c r="I16" s="21" t="s">
        <v>317</v>
      </c>
      <c r="J16" s="3" t="s">
        <v>254</v>
      </c>
      <c r="K16" s="1"/>
      <c r="L16" s="1"/>
      <c r="M16" s="1"/>
      <c r="N16" s="1"/>
      <c r="O16" s="1"/>
      <c r="P16" s="1"/>
      <c r="Q16" s="1"/>
    </row>
    <row r="17" spans="1:17" ht="34.049999999999997" customHeight="1">
      <c r="A17" s="1" t="s">
        <v>255</v>
      </c>
      <c r="B17" s="3" t="s">
        <v>256</v>
      </c>
      <c r="C17" s="13">
        <v>46313</v>
      </c>
      <c r="D17" s="13">
        <v>46314</v>
      </c>
      <c r="E17" s="16">
        <v>2.2000000000000002</v>
      </c>
      <c r="F17" s="16">
        <v>0.4</v>
      </c>
      <c r="G17" s="16">
        <v>0.3</v>
      </c>
      <c r="H17" s="14">
        <f t="shared" si="0"/>
        <v>2.9</v>
      </c>
      <c r="I17" s="21" t="s">
        <v>317</v>
      </c>
      <c r="J17" s="3" t="s">
        <v>257</v>
      </c>
      <c r="K17" s="1"/>
      <c r="L17" s="1"/>
      <c r="M17" s="1"/>
      <c r="N17" s="1"/>
      <c r="O17" s="1"/>
      <c r="P17" s="1"/>
      <c r="Q17" s="1"/>
    </row>
    <row r="18" spans="1:17" ht="34.049999999999997" customHeight="1">
      <c r="A18" s="1" t="s">
        <v>258</v>
      </c>
      <c r="B18" s="3" t="s">
        <v>259</v>
      </c>
      <c r="C18" s="13">
        <v>46314</v>
      </c>
      <c r="D18" s="13">
        <v>46314</v>
      </c>
      <c r="E18" s="16">
        <v>0.4</v>
      </c>
      <c r="F18" s="16">
        <v>0.6</v>
      </c>
      <c r="G18" s="16">
        <v>1</v>
      </c>
      <c r="H18" s="14">
        <f t="shared" si="0"/>
        <v>2</v>
      </c>
      <c r="I18" s="21" t="s">
        <v>317</v>
      </c>
      <c r="J18" s="3" t="s">
        <v>260</v>
      </c>
      <c r="K18" s="1"/>
      <c r="L18" s="1"/>
      <c r="M18" s="1"/>
      <c r="N18" s="1"/>
      <c r="O18" s="1"/>
      <c r="P18" s="1"/>
      <c r="Q18" s="1"/>
    </row>
    <row r="19" spans="1:17" ht="34.049999999999997" customHeight="1">
      <c r="A19" s="1" t="s">
        <v>261</v>
      </c>
      <c r="B19" s="3" t="s">
        <v>262</v>
      </c>
      <c r="C19" s="13">
        <v>46314</v>
      </c>
      <c r="D19" s="13">
        <v>46314</v>
      </c>
      <c r="E19" s="16">
        <v>0.4</v>
      </c>
      <c r="F19" s="16">
        <v>0</v>
      </c>
      <c r="G19" s="16">
        <v>0</v>
      </c>
      <c r="H19" s="14">
        <f t="shared" si="0"/>
        <v>0.4</v>
      </c>
      <c r="I19" s="21" t="s">
        <v>317</v>
      </c>
      <c r="J19" s="3" t="s">
        <v>263</v>
      </c>
      <c r="K19" s="1"/>
      <c r="L19" s="1"/>
      <c r="M19" s="1"/>
      <c r="N19" s="1"/>
      <c r="O19" s="1"/>
      <c r="P19" s="1"/>
      <c r="Q19" s="1"/>
    </row>
    <row r="20" spans="1:17" ht="19.05" customHeight="1">
      <c r="A20" s="1"/>
      <c r="B20" s="1" t="s">
        <v>264</v>
      </c>
      <c r="C20" s="1"/>
      <c r="D20" s="1"/>
      <c r="E20" s="15">
        <f>SUM(E5:E19)</f>
        <v>9.7000000000000028</v>
      </c>
      <c r="F20" s="15">
        <f>SUM(F5:F19)</f>
        <v>9.6</v>
      </c>
      <c r="G20" s="15">
        <f>SUM(G5:G19)</f>
        <v>10</v>
      </c>
      <c r="H20" s="15">
        <f>SUM(H5:H19)</f>
        <v>29.3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9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9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9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9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9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">
    <mergeCell ref="A1:J2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60"/>
  <sheetViews>
    <sheetView workbookViewId="0">
      <pane ySplit="4" topLeftCell="A5" activePane="bottomLeft" state="frozen"/>
      <selection pane="bottomLeft" sqref="A1:F2"/>
    </sheetView>
  </sheetViews>
  <sheetFormatPr defaultRowHeight="13.8"/>
  <cols>
    <col min="1" max="1" width="11" customWidth="1"/>
    <col min="2" max="2" width="54" customWidth="1"/>
    <col min="3" max="5" width="14" customWidth="1"/>
    <col min="6" max="6" width="50" customWidth="1"/>
  </cols>
  <sheetData>
    <row r="1" spans="1:17" ht="24" customHeight="1">
      <c r="A1" s="17" t="s">
        <v>265</v>
      </c>
      <c r="B1" s="17"/>
      <c r="C1" s="17"/>
      <c r="D1" s="17"/>
      <c r="E1" s="17"/>
      <c r="F1" s="17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>
      <c r="A2" s="17"/>
      <c r="B2" s="17"/>
      <c r="C2" s="17"/>
      <c r="D2" s="17"/>
      <c r="E2" s="17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9.05" customHeight="1">
      <c r="A3" s="18" t="s">
        <v>266</v>
      </c>
      <c r="B3" s="18"/>
      <c r="C3" s="18"/>
      <c r="D3" s="18"/>
      <c r="E3" s="18"/>
      <c r="F3" s="18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30" customHeight="1">
      <c r="A4" s="2" t="s">
        <v>211</v>
      </c>
      <c r="B4" s="2" t="s">
        <v>267</v>
      </c>
      <c r="C4" s="2" t="s">
        <v>109</v>
      </c>
      <c r="D4" s="2" t="s">
        <v>110</v>
      </c>
      <c r="E4" s="2" t="s">
        <v>111</v>
      </c>
      <c r="F4" s="2" t="s">
        <v>268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1.95" customHeight="1">
      <c r="A5" s="1" t="s">
        <v>220</v>
      </c>
      <c r="B5" s="3" t="s">
        <v>221</v>
      </c>
      <c r="C5" s="1" t="s">
        <v>269</v>
      </c>
      <c r="D5" s="1" t="s">
        <v>270</v>
      </c>
      <c r="E5" s="1" t="s">
        <v>270</v>
      </c>
      <c r="F5" s="3" t="s">
        <v>271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1.95" customHeight="1">
      <c r="A6" s="1" t="s">
        <v>223</v>
      </c>
      <c r="B6" s="3" t="s">
        <v>224</v>
      </c>
      <c r="C6" s="1" t="s">
        <v>269</v>
      </c>
      <c r="D6" s="1" t="s">
        <v>272</v>
      </c>
      <c r="E6" s="1" t="s">
        <v>272</v>
      </c>
      <c r="F6" s="3" t="s">
        <v>273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31.95" customHeight="1">
      <c r="A7" s="1" t="s">
        <v>226</v>
      </c>
      <c r="B7" s="3" t="s">
        <v>227</v>
      </c>
      <c r="C7" s="1" t="s">
        <v>272</v>
      </c>
      <c r="D7" s="1" t="s">
        <v>269</v>
      </c>
      <c r="E7" s="1" t="s">
        <v>272</v>
      </c>
      <c r="F7" s="3" t="s">
        <v>274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1.95" customHeight="1">
      <c r="A8" s="1" t="s">
        <v>229</v>
      </c>
      <c r="B8" s="3" t="s">
        <v>230</v>
      </c>
      <c r="C8" s="1" t="s">
        <v>275</v>
      </c>
      <c r="D8" s="1" t="s">
        <v>272</v>
      </c>
      <c r="E8" s="1" t="s">
        <v>269</v>
      </c>
      <c r="F8" s="3" t="s">
        <v>276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1.95" customHeight="1">
      <c r="A9" s="1" t="s">
        <v>232</v>
      </c>
      <c r="B9" s="3" t="s">
        <v>233</v>
      </c>
      <c r="C9" s="1" t="s">
        <v>272</v>
      </c>
      <c r="D9" s="1" t="s">
        <v>275</v>
      </c>
      <c r="E9" s="1" t="s">
        <v>269</v>
      </c>
      <c r="F9" s="3" t="s">
        <v>277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31.95" customHeight="1">
      <c r="A10" s="1" t="s">
        <v>235</v>
      </c>
      <c r="B10" s="3" t="s">
        <v>236</v>
      </c>
      <c r="C10" s="1" t="s">
        <v>269</v>
      </c>
      <c r="D10" s="1" t="s">
        <v>275</v>
      </c>
      <c r="E10" s="1" t="s">
        <v>275</v>
      </c>
      <c r="F10" s="3" t="s">
        <v>278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31.95" customHeight="1">
      <c r="A11" s="1" t="s">
        <v>237</v>
      </c>
      <c r="B11" s="3" t="s">
        <v>238</v>
      </c>
      <c r="C11" s="1" t="s">
        <v>270</v>
      </c>
      <c r="D11" s="1" t="s">
        <v>269</v>
      </c>
      <c r="E11" s="1" t="s">
        <v>270</v>
      </c>
      <c r="F11" s="3" t="s">
        <v>279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31.95" customHeight="1">
      <c r="A12" s="1" t="s">
        <v>240</v>
      </c>
      <c r="B12" s="3" t="s">
        <v>241</v>
      </c>
      <c r="C12" s="1" t="s">
        <v>275</v>
      </c>
      <c r="D12" s="1" t="s">
        <v>269</v>
      </c>
      <c r="E12" s="1" t="s">
        <v>275</v>
      </c>
      <c r="F12" s="3" t="s">
        <v>280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1.95" customHeight="1">
      <c r="A13" s="1" t="s">
        <v>243</v>
      </c>
      <c r="B13" s="3" t="s">
        <v>244</v>
      </c>
      <c r="C13" s="1" t="s">
        <v>270</v>
      </c>
      <c r="D13" s="1" t="s">
        <v>270</v>
      </c>
      <c r="E13" s="1" t="s">
        <v>269</v>
      </c>
      <c r="F13" s="3" t="s">
        <v>281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31.95" customHeight="1">
      <c r="A14" s="1" t="s">
        <v>246</v>
      </c>
      <c r="B14" s="3" t="s">
        <v>247</v>
      </c>
      <c r="C14" s="1" t="s">
        <v>275</v>
      </c>
      <c r="D14" s="1" t="s">
        <v>275</v>
      </c>
      <c r="E14" s="1" t="s">
        <v>269</v>
      </c>
      <c r="F14" s="3" t="s">
        <v>282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1.95" customHeight="1">
      <c r="A15" s="1" t="s">
        <v>249</v>
      </c>
      <c r="B15" s="3" t="s">
        <v>250</v>
      </c>
      <c r="C15" s="1" t="s">
        <v>275</v>
      </c>
      <c r="D15" s="1" t="s">
        <v>269</v>
      </c>
      <c r="E15" s="1" t="s">
        <v>270</v>
      </c>
      <c r="F15" s="3" t="s">
        <v>283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31.95" customHeight="1">
      <c r="A16" s="1" t="s">
        <v>252</v>
      </c>
      <c r="B16" s="3" t="s">
        <v>253</v>
      </c>
      <c r="C16" s="1" t="s">
        <v>269</v>
      </c>
      <c r="D16" s="1" t="s">
        <v>270</v>
      </c>
      <c r="E16" s="1" t="s">
        <v>270</v>
      </c>
      <c r="F16" s="3" t="s">
        <v>284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31.95" customHeight="1">
      <c r="A17" s="1" t="s">
        <v>255</v>
      </c>
      <c r="B17" s="3" t="s">
        <v>256</v>
      </c>
      <c r="C17" s="1" t="s">
        <v>269</v>
      </c>
      <c r="D17" s="1" t="s">
        <v>275</v>
      </c>
      <c r="E17" s="1" t="s">
        <v>275</v>
      </c>
      <c r="F17" s="3" t="s">
        <v>285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31.95" customHeight="1">
      <c r="A18" s="1" t="s">
        <v>258</v>
      </c>
      <c r="B18" s="3" t="s">
        <v>259</v>
      </c>
      <c r="C18" s="1" t="s">
        <v>275</v>
      </c>
      <c r="D18" s="1" t="s">
        <v>270</v>
      </c>
      <c r="E18" s="1" t="s">
        <v>269</v>
      </c>
      <c r="F18" s="3" t="s">
        <v>286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1.95" customHeight="1">
      <c r="A19" s="1" t="s">
        <v>261</v>
      </c>
      <c r="B19" s="3" t="s">
        <v>262</v>
      </c>
      <c r="C19" s="1" t="s">
        <v>269</v>
      </c>
      <c r="D19" s="1" t="s">
        <v>272</v>
      </c>
      <c r="E19" s="1" t="s">
        <v>272</v>
      </c>
      <c r="F19" s="3" t="s">
        <v>287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9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9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9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9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9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9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9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9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9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9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9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9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9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9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9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9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9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9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9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9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9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9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9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9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9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9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9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9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9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9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9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9.0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9.0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9.0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9.0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9.0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9.0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9.0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9.0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9.0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9.0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9.0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9.0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9.0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9.0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9.0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0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9.0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9.0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0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9.0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9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9.0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9.0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9.0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9.0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9.0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9.0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9.0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9.0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9.0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9.0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0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9.0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9.0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9.0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9.0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9.0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9.0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9.0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9.0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9.0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9.0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9.0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9.0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9.0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9.0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9.0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9.0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9.0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9.0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9.0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9.0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9.0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9.0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9.0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9.0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9.0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9.0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9.0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9.0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9.0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9.0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9.0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9.0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9.0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9.0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9.0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9.0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9.0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9.0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9.0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9.0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9.0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9.0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9.0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9.0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9.0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9.0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9.0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9.0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0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9.0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9.0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9.0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9.0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9.0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9.0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9.0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9.0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9.0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9.0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9.0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9.0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9.0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9.0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9.0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9.0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9.0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9.0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9.0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9.0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9.0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9.0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9.0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9.0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9.0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9.0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9.0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9.0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9.0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9.0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9.0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9.0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9.0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9.0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9.0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9.0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9.0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9.0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9.0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9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9.0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9.0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9.0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9.0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9.0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9.0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9.0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9.0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9.0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9.0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9.0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9.0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9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9.0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9.0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9.0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9.0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9.0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9.0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9.0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9.0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9.0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0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9.0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9.0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9.0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9.0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9.0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9.0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9.0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9.0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9.0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9.0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9.0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9.0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9.0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9.0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9.0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9.0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9.0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9.0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9.0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9.0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9.0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9.0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9.0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9.0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9.0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9.0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9.0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9.0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9.0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9.0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9.0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9.0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9.0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9.0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9.0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9.0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9.0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9.0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9.0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9.0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9.0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9.0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9.0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9.0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0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9.0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9.0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9.0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9.0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9.0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9.0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9.0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9.0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9.0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9.0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9.0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9.0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9.0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9.0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9.0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9.0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9.0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9.0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9.0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9.0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9.0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2">
    <mergeCell ref="A1:F2"/>
    <mergeCell ref="A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59"/>
  <sheetViews>
    <sheetView workbookViewId="0">
      <selection activeCell="A4" sqref="A4:XFD4"/>
    </sheetView>
  </sheetViews>
  <sheetFormatPr defaultRowHeight="13.8"/>
  <cols>
    <col min="1" max="1" width="20" customWidth="1"/>
    <col min="2" max="2" width="19" customWidth="1"/>
    <col min="3" max="3" width="15" customWidth="1"/>
    <col min="4" max="4" width="19" customWidth="1"/>
    <col min="5" max="5" width="15" customWidth="1"/>
    <col min="6" max="6" width="5" customWidth="1"/>
    <col min="7" max="7" width="16" customWidth="1"/>
    <col min="8" max="12" width="15" customWidth="1"/>
  </cols>
  <sheetData>
    <row r="1" spans="1:17" ht="19.2" customHeight="1">
      <c r="A1" s="17" t="s">
        <v>288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"/>
      <c r="N1" s="1"/>
      <c r="O1" s="1"/>
      <c r="P1" s="1"/>
      <c r="Q1" s="1"/>
    </row>
    <row r="2" spans="1:17" ht="19.2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  <c r="N2" s="1"/>
      <c r="O2" s="1"/>
      <c r="P2" s="1"/>
      <c r="Q2" s="1"/>
    </row>
    <row r="3" spans="1:17" ht="15.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0.85" customHeight="1">
      <c r="A5" s="19" t="s">
        <v>289</v>
      </c>
      <c r="B5" s="19"/>
      <c r="C5" s="19"/>
      <c r="D5" s="19"/>
      <c r="E5" s="1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15" customHeight="1">
      <c r="A6" s="1" t="s">
        <v>290</v>
      </c>
      <c r="B6" s="1" t="s">
        <v>291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15" customHeight="1">
      <c r="A7" s="1" t="s">
        <v>292</v>
      </c>
      <c r="B7" s="1" t="s">
        <v>293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15" customHeight="1">
      <c r="A8" s="1" t="s">
        <v>294</v>
      </c>
      <c r="B8" s="1" t="s">
        <v>295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15" customHeight="1">
      <c r="A9" s="1" t="s">
        <v>296</v>
      </c>
      <c r="B9" s="1" t="s">
        <v>297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0.85" customHeight="1">
      <c r="A10" s="19" t="s">
        <v>298</v>
      </c>
      <c r="B10" s="19"/>
      <c r="C10" s="19"/>
      <c r="D10" s="19"/>
      <c r="E10" s="1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4" customHeight="1">
      <c r="A11" s="2" t="s">
        <v>29</v>
      </c>
      <c r="B11" s="2" t="s">
        <v>299</v>
      </c>
      <c r="C11" s="2" t="s">
        <v>152</v>
      </c>
      <c r="D11" s="2" t="s">
        <v>300</v>
      </c>
      <c r="E11" s="2" t="s">
        <v>152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15" customHeight="1">
      <c r="A12" s="1" t="s">
        <v>34</v>
      </c>
      <c r="B12" s="8">
        <f>TOPSIS!E45</f>
        <v>0.5873109705698053</v>
      </c>
      <c r="C12" s="1">
        <f>TOPSIS!F45</f>
        <v>2</v>
      </c>
      <c r="D12" s="8">
        <f>'МАИ итог'!H13</f>
        <v>0.28276853557431625</v>
      </c>
      <c r="E12" s="1">
        <f>'МАИ итог'!I13</f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15" customHeight="1">
      <c r="A13" s="4" t="s">
        <v>63</v>
      </c>
      <c r="B13" s="9">
        <f>TOPSIS!E46</f>
        <v>0.70407472472730215</v>
      </c>
      <c r="C13" s="4">
        <f>TOPSIS!F46</f>
        <v>1</v>
      </c>
      <c r="D13" s="9">
        <f>'МАИ итог'!H14</f>
        <v>0.33127616191101683</v>
      </c>
      <c r="E13" s="4">
        <f>'МАИ итог'!I14</f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15" customHeight="1">
      <c r="A14" s="1" t="s">
        <v>79</v>
      </c>
      <c r="B14" s="8">
        <f>TOPSIS!E47</f>
        <v>0.55783567774617326</v>
      </c>
      <c r="C14" s="1">
        <f>TOPSIS!F47</f>
        <v>3</v>
      </c>
      <c r="D14" s="8">
        <f>'МАИ итог'!H15</f>
        <v>0.22131153287406868</v>
      </c>
      <c r="E14" s="1">
        <f>'МАИ итог'!I15</f>
        <v>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15" customHeight="1">
      <c r="A15" s="1" t="s">
        <v>93</v>
      </c>
      <c r="B15" s="8">
        <f>TOPSIS!E48</f>
        <v>0.45054950249489317</v>
      </c>
      <c r="C15" s="1">
        <f>TOPSIS!F48</f>
        <v>4</v>
      </c>
      <c r="D15" s="8">
        <f>'МАИ итог'!H16</f>
        <v>0.16464376964059846</v>
      </c>
      <c r="E15" s="1">
        <f>'МАИ итог'!I16</f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0.85" customHeight="1">
      <c r="A18" s="19" t="s">
        <v>301</v>
      </c>
      <c r="B18" s="19"/>
      <c r="C18" s="19"/>
      <c r="D18" s="19"/>
      <c r="E18" s="1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15" customHeight="1">
      <c r="A19" s="1" t="s">
        <v>109</v>
      </c>
      <c r="B19" s="14">
        <f>Задачи!E20</f>
        <v>9.7000000000000028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15" customHeight="1">
      <c r="A20" s="1" t="s">
        <v>110</v>
      </c>
      <c r="B20" s="14">
        <f>Задачи!F20</f>
        <v>9.6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15" customHeight="1">
      <c r="A21" s="1" t="s">
        <v>111</v>
      </c>
      <c r="B21" s="14">
        <f>Задачи!G20</f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15" customHeight="1">
      <c r="A22" s="1" t="s">
        <v>302</v>
      </c>
      <c r="B22" s="14">
        <f>Задачи!H20</f>
        <v>29.3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15" customHeight="1">
      <c r="A25" s="20" t="s">
        <v>303</v>
      </c>
      <c r="B25" s="20"/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15" customHeight="1">
      <c r="A26" s="20"/>
      <c r="B26" s="20"/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15" customHeight="1">
      <c r="A27" s="20"/>
      <c r="B27" s="20"/>
      <c r="C27" s="20"/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</sheetData>
  <mergeCells count="5">
    <mergeCell ref="A25:E27"/>
    <mergeCell ref="A1:L2"/>
    <mergeCell ref="A5:E5"/>
    <mergeCell ref="A10:E10"/>
    <mergeCell ref="A18:E1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60"/>
  <sheetViews>
    <sheetView workbookViewId="0">
      <selection sqref="A1:B2"/>
    </sheetView>
  </sheetViews>
  <sheetFormatPr defaultRowHeight="13.8"/>
  <cols>
    <col min="1" max="1" width="22" customWidth="1"/>
    <col min="2" max="2" width="80" customWidth="1"/>
  </cols>
  <sheetData>
    <row r="1" spans="1:17" ht="19.2" customHeight="1">
      <c r="A1" s="17" t="s">
        <v>304</v>
      </c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.2" customHeight="1">
      <c r="A2" s="17"/>
      <c r="B2" s="1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4" customHeight="1">
      <c r="A4" s="2" t="s">
        <v>305</v>
      </c>
      <c r="B4" s="2" t="s">
        <v>306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3.6" customHeight="1">
      <c r="A5" s="1" t="s">
        <v>307</v>
      </c>
      <c r="B5" s="3" t="s">
        <v>308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3.6" customHeight="1">
      <c r="A6" s="1" t="s">
        <v>309</v>
      </c>
      <c r="B6" s="3" t="s">
        <v>310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33.6" customHeight="1">
      <c r="A7" s="1" t="s">
        <v>311</v>
      </c>
      <c r="B7" s="3" t="s">
        <v>312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3.6" customHeight="1">
      <c r="A8" s="1" t="s">
        <v>313</v>
      </c>
      <c r="B8" s="3" t="s">
        <v>314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3.6" customHeight="1">
      <c r="A9" s="1" t="s">
        <v>172</v>
      </c>
      <c r="B9" s="3" t="s">
        <v>315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Критерии</vt:lpstr>
      <vt:lpstr>Концепции</vt:lpstr>
      <vt:lpstr>Оценки</vt:lpstr>
      <vt:lpstr>TOPSIS</vt:lpstr>
      <vt:lpstr>МАИ суждения</vt:lpstr>
      <vt:lpstr>МАИ матрицы</vt:lpstr>
      <vt:lpstr>МАИ проверки</vt:lpstr>
      <vt:lpstr>МАИ итог</vt:lpstr>
      <vt:lpstr>Задачи</vt:lpstr>
      <vt:lpstr>RACI</vt:lpstr>
      <vt:lpstr>Обзор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2026-10-27T17:55:03Z</dcterms:modified>
</cp:coreProperties>
</file>