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cd91d22d6d84d6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Журнал задач" sheetId="1" r:id="R5aa6bb355e9847bf"/>
    <x:sheet xmlns:r="http://schemas.openxmlformats.org/officeDocument/2006/relationships" name="Сводка" sheetId="2" r:id="R34219ca2d79e451e"/>
    <x:sheet xmlns:r="http://schemas.openxmlformats.org/officeDocument/2006/relationships" name="Правила учёта" sheetId="3" r:id="Re719961f0dd948b3"/>
    <x:sheet xmlns:r="http://schemas.openxmlformats.org/officeDocument/2006/relationships" name="История изменений" sheetId="4" r:id="R5e6323f49f4a418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dd.mm.yyyy"/>
    <x:numFmt numFmtId="201" formatCode="0.0"/>
  </x:numFmts>
  <x:fonts count="4">
    <x:font>
      <x:sz val="11"/>
      <x:name val="Carlito"/>
    </x:font>
    <x:font>
      <x:b/>
      <x:sz val="15"/>
      <x:color rgb="FFFFFFFF"/>
      <x:name val="Carlito"/>
    </x:font>
    <x:font>
      <x:sz val="10"/>
      <x:color rgb="FF15304B"/>
      <x:name val="Carlito"/>
    </x:font>
    <x:font>
      <x:b/>
      <x:sz val="10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5304B"/>
      </x:patternFill>
    </x:fill>
    <x:fill>
      <x:patternFill patternType="solid">
        <x:fgColor rgb="FFEAF2F8"/>
      </x:patternFill>
    </x:fill>
    <x:fill>
      <x:patternFill patternType="solid">
        <x:fgColor rgb="FFE5F1FE"/>
      </x:patternFill>
    </x:fill>
    <x:fill>
      <x:patternFill patternType="solid">
        <x:fgColor rgb="FFFFF3D6"/>
      </x:patternFill>
    </x:fill>
  </x:fills>
  <x:borders count="2">
    <x:border/>
    <x:border/>
  </x:borders>
  <x:cellStyleXfs count="1">
    <x:xf numFmtId="0" fontId="0" fillId="0" borderId="0"/>
  </x:cellStyleXfs>
  <x:cellXfs count="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0" fontId="0" fillId="4" borderId="0" xfId="0" applyNumberFormat="1" applyFont="1" applyFill="1" applyBorder="1"/>
    <x:xf numFmtId="201" fontId="0" fillId="4" borderId="0" xfId="0" applyNumberFormat="1" applyFont="1" applyFill="1" applyBorder="1"/>
    <x:xf numFmtId="200" fontId="0" fillId="4" borderId="1" xfId="0" applyNumberFormat="1" applyFont="1" applyFill="1" applyBorder="1"/>
    <x:xf numFmtId="201" fontId="0" fillId="4" borderId="1" xfId="0" applyNumberFormat="1" applyFont="1" applyFill="1" applyBorder="1"/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10680112e1c4b64" /><Relationship Type="http://schemas.openxmlformats.org/officeDocument/2006/relationships/theme" Target="/xl/theme/theme1.xml" Id="R4e27ac375c5e4e3d" /><Relationship Type="http://schemas.openxmlformats.org/officeDocument/2006/relationships/sharedStrings" Target="/xl/sharedStrings.xml" Id="Re055d970f2064faf" /><Relationship Type="http://schemas.openxmlformats.org/officeDocument/2006/relationships/worksheet" Target="/xl/worksheets/sheet1.xml" Id="R5aa6bb355e9847bf" /><Relationship Type="http://schemas.openxmlformats.org/officeDocument/2006/relationships/worksheet" Target="/xl/worksheets/sheet2.xml" Id="R34219ca2d79e451e" /><Relationship Type="http://schemas.openxmlformats.org/officeDocument/2006/relationships/worksheet" Target="/xl/worksheets/sheet3.xml" Id="Re719961f0dd948b3" /><Relationship Type="http://schemas.openxmlformats.org/officeDocument/2006/relationships/worksheet" Target="/xl/worksheets/sheet4.xml" Id="R5e6323f49f4a418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9" hidden="0" customWidth="1"/>
    <x:col min="2" max="2" width="9" hidden="0" customWidth="1"/>
    <x:col min="3" max="3" width="50" hidden="0" customWidth="1"/>
    <x:col min="4" max="4" width="19" hidden="0" customWidth="1"/>
    <x:col min="5" max="5" width="16" hidden="0" customWidth="1"/>
    <x:col min="6" max="6" width="16" hidden="0" customWidth="1"/>
    <x:col min="7" max="7" width="14" hidden="0" customWidth="1"/>
    <x:col min="8" max="8" width="14" hidden="0" customWidth="1"/>
    <x:col min="9" max="9" width="14" hidden="0" customWidth="1"/>
    <x:col min="10" max="10" width="15" hidden="0" customWidth="1"/>
    <x:col min="11" max="11" width="16" hidden="0" customWidth="1"/>
    <x:col min="12" max="12" width="16" hidden="0" customWidth="1"/>
    <x:col min="13" max="13" width="14" hidden="0" customWidth="1"/>
    <x:col min="14" max="14" width="14" hidden="0" customWidth="1"/>
    <x:col min="15" max="15" width="14" hidden="0" customWidth="1"/>
    <x:col min="16" max="16" width="15" hidden="0" customWidth="1"/>
    <x:col min="17" max="17" width="19" hidden="0" customWidth="1"/>
    <x:col min="18" max="18" width="29" hidden="0" customWidth="1"/>
    <x:col min="19" max="19" width="46" hidden="0" customWidth="1"/>
    <x:col min="20" max="20" width="12" hidden="0" customWidth="1"/>
  </x:cols>
  <x:sheetData>
    <x:row r="1" ht="33" customHeight="1">
      <x:c r="A1" s="4" t="str">
        <x:v>Сквозной журнал задач · план и факт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</x:row>
    <x:row r="3" ht="36" customHeight="1">
      <x:c r="A3" s="11" t="str">
        <x:v>Видны плановые сроки и чистые часы. Фактические даты/часы пустые: не заполняйте их до выполнения работ. Все 15 задач имеют статус «План».</x:v>
      </x:c>
      <x:c r="B3" s="11"/>
      <x:c r="C3" s="11"/>
      <x:c r="D3" s="11"/>
      <x:c r="E3" s="11"/>
      <x:c r="F3" s="11"/>
      <x:c r="G3" s="11"/>
      <x:c r="H3" s="11"/>
      <x:c r="I3" s="11"/>
      <x:c r="J3" s="11"/>
      <x:c r="K3" s="11"/>
      <x:c r="L3" s="11"/>
      <x:c r="M3" s="11"/>
      <x:c r="N3" s="11"/>
      <x:c r="O3" s="11"/>
      <x:c r="P3" s="11"/>
      <x:c r="Q3" s="11"/>
      <x:c r="R3" s="11"/>
      <x:c r="S3" s="11"/>
      <x:c r="T3" s="11"/>
    </x:row>
    <x:row r="5" ht="32" customHeight="1">
      <x:c r="A5" s="18" t="str">
        <x:v>Фаза</x:v>
      </x:c>
      <x:c r="B5" s="18" t="str">
        <x:v>ID</x:v>
      </x:c>
      <x:c r="C5" s="18" t="str">
        <x:v>Задача</x:v>
      </x:c>
      <x:c r="D5" s="18" t="str">
        <x:v>Владелец (A)</x:v>
      </x:c>
      <x:c r="E5" s="18" t="str">
        <x:v>План начало</x:v>
      </x:c>
      <x:c r="F5" s="18" t="str">
        <x:v>План конец</x:v>
      </x:c>
      <x:c r="G5" s="18" t="str">
        <x:v>У1 план, ч</x:v>
      </x:c>
      <x:c r="H5" s="18" t="str">
        <x:v>У2 план, ч</x:v>
      </x:c>
      <x:c r="I5" s="18" t="str">
        <x:v>У3 план, ч</x:v>
      </x:c>
      <x:c r="J5" s="18" t="str">
        <x:v>План, чел·ч</x:v>
      </x:c>
      <x:c r="K5" s="18" t="str">
        <x:v>Факт начало</x:v>
      </x:c>
      <x:c r="L5" s="18" t="str">
        <x:v>Факт конец</x:v>
      </x:c>
      <x:c r="M5" s="18" t="str">
        <x:v>У1 факт, ч</x:v>
      </x:c>
      <x:c r="N5" s="18" t="str">
        <x:v>У2 факт, ч</x:v>
      </x:c>
      <x:c r="O5" s="18" t="str">
        <x:v>У3 факт, ч</x:v>
      </x:c>
      <x:c r="P5" s="18" t="str">
        <x:v>Факт, чел·ч</x:v>
      </x:c>
      <x:c r="Q5" s="18" t="str">
        <x:v>Статус</x:v>
      </x:c>
      <x:c r="R5" s="18" t="str">
        <x:v>Артефакт</x:v>
      </x:c>
      <x:c r="S5" s="18" t="str">
        <x:v>Ссылка/примечание</x:v>
      </x:c>
      <x:c r="T5" s="18" t="str">
        <x:v>Версия</x:v>
      </x:c>
    </x:row>
    <x:row r="6" ht="38" customHeight="1">
      <x:c r="A6" s="38" t="str">
        <x:v>1</x:v>
      </x:c>
      <x:c r="B6" s="38" t="str">
        <x:v>T01</x:v>
      </x:c>
      <x:c r="C6" s="34" t="str">
        <x:v>Установочная встреча, правила и роли</x:v>
      </x:c>
      <x:c r="D6" s="38" t="str">
        <x:v>Участник 1</x:v>
      </x:c>
      <x:c r="E6" s="22" t="n">
        <x:v>46309</x:v>
      </x:c>
      <x:c r="F6" s="22" t="n">
        <x:v>46309</x:v>
      </x:c>
      <x:c r="G6" s="24" t="n">
        <x:v>0.5</x:v>
      </x:c>
      <x:c r="H6" s="24" t="n">
        <x:v>0.5</x:v>
      </x:c>
      <x:c r="I6" s="24" t="n">
        <x:v>0.5</x:v>
      </x:c>
      <x:c r="J6" s="24" t="n">
        <x:f>SUM(G6:I6)</x:f>
        <x:v>1.5</x:v>
      </x:c>
      <x:c r="K6" s="26"/>
      <x:c r="L6" s="26"/>
      <x:c r="M6" s="27"/>
      <x:c r="N6" s="27"/>
      <x:c r="O6" s="27"/>
      <x:c r="P6" s="24" t="str">
        <x:f>IF(COUNT(M6:O6)=0,"",SUM(M6:O6))</x:f>
      </x:c>
      <x:c r="Q6" s="30" t="str">
        <x:v>План</x:v>
      </x:c>
      <x:c r="R6" s="34" t="str">
        <x:v>Протокол встречи</x:v>
      </x:c>
      <x:c r="S6" s="36" t="str"/>
      <x:c r="T6" t="str">
        <x:v>v1.0</x:v>
      </x:c>
    </x:row>
    <x:row r="7" ht="38" customHeight="1">
      <x:c r="A7" s="38" t="str">
        <x:v>1</x:v>
      </x:c>
      <x:c r="B7" s="38" t="str">
        <x:v>T02</x:v>
      </x:c>
      <x:c r="C7" s="34" t="str">
        <x:v>Концепция и 12 UC StudyFlow</x:v>
      </x:c>
      <x:c r="D7" s="38" t="str">
        <x:v>Участник 1</x:v>
      </x:c>
      <x:c r="E7" s="22" t="n">
        <x:v>46309</x:v>
      </x:c>
      <x:c r="F7" s="22" t="n">
        <x:v>46309</x:v>
      </x:c>
      <x:c r="G7" s="24" t="n">
        <x:v>1.4</x:v>
      </x:c>
      <x:c r="H7" s="24" t="n">
        <x:v>0</x:v>
      </x:c>
      <x:c r="I7" s="24" t="n">
        <x:v>0</x:v>
      </x:c>
      <x:c r="J7" s="24" t="n">
        <x:f>SUM(G7:I7)</x:f>
        <x:v>1.4</x:v>
      </x:c>
      <x:c r="K7" s="26"/>
      <x:c r="L7" s="26"/>
      <x:c r="M7" s="27"/>
      <x:c r="N7" s="27"/>
      <x:c r="O7" s="27"/>
      <x:c r="P7" s="24" t="str">
        <x:f>IF(COUNT(M7:O7)=0,"",SUM(M7:O7))</x:f>
      </x:c>
      <x:c r="Q7" s="30" t="str">
        <x:v>План</x:v>
      </x:c>
      <x:c r="R7" s="34" t="str">
        <x:v>Паспорт A1</x:v>
      </x:c>
      <x:c r="S7" s="36" t="str"/>
      <x:c r="T7" t="str">
        <x:v>v1.0</x:v>
      </x:c>
    </x:row>
    <x:row r="8" ht="38" customHeight="1">
      <x:c r="A8" s="38" t="str">
        <x:v>1</x:v>
      </x:c>
      <x:c r="B8" s="38" t="str">
        <x:v>T03</x:v>
      </x:c>
      <x:c r="C8" s="34" t="str">
        <x:v>Концепция и 12 UC CampusEvents</x:v>
      </x:c>
      <x:c r="D8" s="38" t="str">
        <x:v>Участник 2</x:v>
      </x:c>
      <x:c r="E8" s="22" t="n">
        <x:v>46309</x:v>
      </x:c>
      <x:c r="F8" s="22" t="n">
        <x:v>46309</x:v>
      </x:c>
      <x:c r="G8" s="24" t="n">
        <x:v>0</x:v>
      </x:c>
      <x:c r="H8" s="24" t="n">
        <x:v>1.4</x:v>
      </x:c>
      <x:c r="I8" s="24" t="n">
        <x:v>0</x:v>
      </x:c>
      <x:c r="J8" s="24" t="n">
        <x:f>SUM(G8:I8)</x:f>
        <x:v>1.4</x:v>
      </x:c>
      <x:c r="K8" s="26"/>
      <x:c r="L8" s="26"/>
      <x:c r="M8" s="27"/>
      <x:c r="N8" s="27"/>
      <x:c r="O8" s="27"/>
      <x:c r="P8" s="24" t="str">
        <x:f>IF(COUNT(M8:O8)=0,"",SUM(M8:O8))</x:f>
      </x:c>
      <x:c r="Q8" s="30" t="str">
        <x:v>План</x:v>
      </x:c>
      <x:c r="R8" s="34" t="str">
        <x:v>Паспорт A2</x:v>
      </x:c>
      <x:c r="S8" s="36" t="str"/>
      <x:c r="T8" t="str">
        <x:v>v1.0</x:v>
      </x:c>
    </x:row>
    <x:row r="9" ht="38" customHeight="1">
      <x:c r="A9" s="38" t="str">
        <x:v>1</x:v>
      </x:c>
      <x:c r="B9" s="38" t="str">
        <x:v>T04</x:v>
      </x:c>
      <x:c r="C9" s="34" t="str">
        <x:v>Концепция и 12 UC BookSwap</x:v>
      </x:c>
      <x:c r="D9" s="38" t="str">
        <x:v>Участник 3</x:v>
      </x:c>
      <x:c r="E9" s="22" t="n">
        <x:v>46310</x:v>
      </x:c>
      <x:c r="F9" s="22" t="n">
        <x:v>46310</x:v>
      </x:c>
      <x:c r="G9" s="24" t="n">
        <x:v>0.4</x:v>
      </x:c>
      <x:c r="H9" s="24" t="n">
        <x:v>0</x:v>
      </x:c>
      <x:c r="I9" s="24" t="n">
        <x:v>1</x:v>
      </x:c>
      <x:c r="J9" s="24" t="n">
        <x:f>SUM(G9:I9)</x:f>
        <x:v>1.4</x:v>
      </x:c>
      <x:c r="K9" s="26"/>
      <x:c r="L9" s="26"/>
      <x:c r="M9" s="27"/>
      <x:c r="N9" s="27"/>
      <x:c r="O9" s="27"/>
      <x:c r="P9" s="24" t="str">
        <x:f>IF(COUNT(M9:O9)=0,"",SUM(M9:O9))</x:f>
      </x:c>
      <x:c r="Q9" s="30" t="str">
        <x:v>План</x:v>
      </x:c>
      <x:c r="R9" s="34" t="str">
        <x:v>Паспорт A3</x:v>
      </x:c>
      <x:c r="S9" s="36" t="str"/>
      <x:c r="T9" t="str">
        <x:v>v1.0</x:v>
      </x:c>
    </x:row>
    <x:row r="10" ht="38" customHeight="1">
      <x:c r="A10" s="38" t="str">
        <x:v>1</x:v>
      </x:c>
      <x:c r="B10" s="38" t="str">
        <x:v>T05</x:v>
      </x:c>
      <x:c r="C10" s="34" t="str">
        <x:v>Концепция и 12 UC SkillBridge</x:v>
      </x:c>
      <x:c r="D10" s="38" t="str">
        <x:v>Участник 3</x:v>
      </x:c>
      <x:c r="E10" s="22" t="n">
        <x:v>46310</x:v>
      </x:c>
      <x:c r="F10" s="22" t="n">
        <x:v>46310</x:v>
      </x:c>
      <x:c r="G10" s="24" t="n">
        <x:v>0</x:v>
      </x:c>
      <x:c r="H10" s="24" t="n">
        <x:v>0.4</x:v>
      </x:c>
      <x:c r="I10" s="24" t="n">
        <x:v>1</x:v>
      </x:c>
      <x:c r="J10" s="24" t="n">
        <x:f>SUM(G10:I10)</x:f>
        <x:v>1.4</x:v>
      </x:c>
      <x:c r="K10" s="26"/>
      <x:c r="L10" s="26"/>
      <x:c r="M10" s="27"/>
      <x:c r="N10" s="27"/>
      <x:c r="O10" s="27"/>
      <x:c r="P10" s="24" t="str">
        <x:f>IF(COUNT(M10:O10)=0,"",SUM(M10:O10))</x:f>
      </x:c>
      <x:c r="Q10" s="30" t="str">
        <x:v>План</x:v>
      </x:c>
      <x:c r="R10" s="34" t="str">
        <x:v>Паспорт A4</x:v>
      </x:c>
      <x:c r="S10" s="36" t="str"/>
      <x:c r="T10" t="str">
        <x:v>v1.0</x:v>
      </x:c>
    </x:row>
    <x:row r="11" ht="38" customHeight="1">
      <x:c r="A11" s="38" t="str">
        <x:v>1</x:v>
      </x:c>
      <x:c r="B11" s="38" t="str">
        <x:v>T06</x:v>
      </x:c>
      <x:c r="C11" s="34" t="str">
        <x:v>Критерии, шкала и формулировки</x:v>
      </x:c>
      <x:c r="D11" s="38" t="str">
        <x:v>Участник 1</x:v>
      </x:c>
      <x:c r="E11" s="22" t="n">
        <x:v>46310</x:v>
      </x:c>
      <x:c r="F11" s="22" t="n">
        <x:v>46310</x:v>
      </x:c>
      <x:c r="G11" s="24" t="n">
        <x:v>1.1</x:v>
      </x:c>
      <x:c r="H11" s="24" t="n">
        <x:v>0.4</x:v>
      </x:c>
      <x:c r="I11" s="24" t="n">
        <x:v>0.4</x:v>
      </x:c>
      <x:c r="J11" s="24" t="n">
        <x:f>SUM(G11:I11)</x:f>
        <x:v>1.9</x:v>
      </x:c>
      <x:c r="K11" s="26"/>
      <x:c r="L11" s="26"/>
      <x:c r="M11" s="27"/>
      <x:c r="N11" s="27"/>
      <x:c r="O11" s="27"/>
      <x:c r="P11" s="24" t="str">
        <x:f>IF(COUNT(M11:O11)=0,"",SUM(M11:O11))</x:f>
      </x:c>
      <x:c r="Q11" s="30" t="str">
        <x:v>План</x:v>
      </x:c>
      <x:c r="R11" s="34" t="str">
        <x:v>Критерии K1–K5</x:v>
      </x:c>
      <x:c r="S11" s="36" t="str"/>
      <x:c r="T11" t="str">
        <x:v>v1.0</x:v>
      </x:c>
    </x:row>
    <x:row r="12" ht="38" customHeight="1">
      <x:c r="A12" s="38" t="str">
        <x:v>1</x:v>
      </x:c>
      <x:c r="B12" s="38" t="str">
        <x:v>T07</x:v>
      </x:c>
      <x:c r="C12" s="34" t="str">
        <x:v>Независимые балльные оценки (TOPSIS)</x:v>
      </x:c>
      <x:c r="D12" s="38" t="str">
        <x:v>Участник 2</x:v>
      </x:c>
      <x:c r="E12" s="22" t="n">
        <x:v>46310</x:v>
      </x:c>
      <x:c r="F12" s="22" t="n">
        <x:v>46311</x:v>
      </x:c>
      <x:c r="G12" s="24" t="n">
        <x:v>0.8</x:v>
      </x:c>
      <x:c r="H12" s="24" t="n">
        <x:v>0.8</x:v>
      </x:c>
      <x:c r="I12" s="24" t="n">
        <x:v>0.8</x:v>
      </x:c>
      <x:c r="J12" s="24" t="n">
        <x:f>SUM(G12:I12)</x:f>
        <x:v>2.4000000000000004</x:v>
      </x:c>
      <x:c r="K12" s="26"/>
      <x:c r="L12" s="26"/>
      <x:c r="M12" s="27"/>
      <x:c r="N12" s="27"/>
      <x:c r="O12" s="27"/>
      <x:c r="P12" s="24" t="str">
        <x:f>IF(COUNT(M12:O12)=0,"",SUM(M12:O12))</x:f>
      </x:c>
      <x:c r="Q12" s="30" t="str">
        <x:v>План</x:v>
      </x:c>
      <x:c r="R12" s="34" t="str">
        <x:v>3 опросных листа</x:v>
      </x:c>
      <x:c r="S12" s="36" t="str"/>
      <x:c r="T12" t="str">
        <x:v>v1.0</x:v>
      </x:c>
    </x:row>
    <x:row r="13" ht="38" customHeight="1">
      <x:c r="A13" s="38" t="str">
        <x:v>1</x:v>
      </x:c>
      <x:c r="B13" s="38" t="str">
        <x:v>T08</x:v>
      </x:c>
      <x:c r="C13" s="34" t="str">
        <x:v>Расчёт коллективного нечёткого TOPSIS</x:v>
      </x:c>
      <x:c r="D13" s="38" t="str">
        <x:v>Участник 2</x:v>
      </x:c>
      <x:c r="E13" s="22" t="n">
        <x:v>46311</x:v>
      </x:c>
      <x:c r="F13" s="22" t="n">
        <x:v>46312</x:v>
      </x:c>
      <x:c r="G13" s="24" t="n">
        <x:v>0.2</x:v>
      </x:c>
      <x:c r="H13" s="24" t="n">
        <x:v>2.2</x:v>
      </x:c>
      <x:c r="I13" s="24" t="n">
        <x:v>0.3</x:v>
      </x:c>
      <x:c r="J13" s="24" t="n">
        <x:f>SUM(G13:I13)</x:f>
        <x:v>2.7</x:v>
      </x:c>
      <x:c r="K13" s="26"/>
      <x:c r="L13" s="26"/>
      <x:c r="M13" s="27"/>
      <x:c r="N13" s="27"/>
      <x:c r="O13" s="27"/>
      <x:c r="P13" s="24" t="str">
        <x:f>IF(COUNT(M13:O13)=0,"",SUM(M13:O13))</x:f>
      </x:c>
      <x:c r="Q13" s="30" t="str">
        <x:v>План</x:v>
      </x:c>
      <x:c r="R13" s="34" t="str">
        <x:v>Таблица TOPSIS</x:v>
      </x:c>
      <x:c r="S13" s="36" t="str"/>
      <x:c r="T13" t="str">
        <x:v>v1.0</x:v>
      </x:c>
    </x:row>
    <x:row r="14" ht="38" customHeight="1">
      <x:c r="A14" s="38" t="str">
        <x:v>1</x:v>
      </x:c>
      <x:c r="B14" s="38" t="str">
        <x:v>T09</x:v>
      </x:c>
      <x:c r="C14" s="34" t="str">
        <x:v>Независимые попарные сравнения МАИ</x:v>
      </x:c>
      <x:c r="D14" s="38" t="str">
        <x:v>Участник 3</x:v>
      </x:c>
      <x:c r="E14" s="22" t="n">
        <x:v>46311</x:v>
      </x:c>
      <x:c r="F14" s="22" t="n">
        <x:v>46312</x:v>
      </x:c>
      <x:c r="G14" s="24" t="n">
        <x:v>1.2</x:v>
      </x:c>
      <x:c r="H14" s="24" t="n">
        <x:v>1.2</x:v>
      </x:c>
      <x:c r="I14" s="24" t="n">
        <x:v>1.2</x:v>
      </x:c>
      <x:c r="J14" s="24" t="n">
        <x:f>SUM(G14:I14)</x:f>
        <x:v>3.5999999999999996</x:v>
      </x:c>
      <x:c r="K14" s="26"/>
      <x:c r="L14" s="26"/>
      <x:c r="M14" s="27"/>
      <x:c r="N14" s="27"/>
      <x:c r="O14" s="27"/>
      <x:c r="P14" s="24" t="str">
        <x:f>IF(COUNT(M14:O14)=0,"",SUM(M14:O14))</x:f>
      </x:c>
      <x:c r="Q14" s="30" t="str">
        <x:v>План</x:v>
      </x:c>
      <x:c r="R14" s="34" t="str">
        <x:v>3 комплекта суждений</x:v>
      </x:c>
      <x:c r="S14" s="36" t="str"/>
      <x:c r="T14" t="str">
        <x:v>v1.0</x:v>
      </x:c>
    </x:row>
    <x:row r="15" ht="38" customHeight="1">
      <x:c r="A15" s="38" t="str">
        <x:v>1</x:v>
      </x:c>
      <x:c r="B15" s="38" t="str">
        <x:v>T10</x:v>
      </x:c>
      <x:c r="C15" s="34" t="str">
        <x:v>Агрегация МАИ и проверка CR</x:v>
      </x:c>
      <x:c r="D15" s="38" t="str">
        <x:v>Участник 3</x:v>
      </x:c>
      <x:c r="E15" s="22" t="n">
        <x:v>46312</x:v>
      </x:c>
      <x:c r="F15" s="22" t="n">
        <x:v>46313</x:v>
      </x:c>
      <x:c r="G15" s="24" t="n">
        <x:v>0.2</x:v>
      </x:c>
      <x:c r="H15" s="24" t="n">
        <x:v>0.3</x:v>
      </x:c>
      <x:c r="I15" s="24" t="n">
        <x:v>2.3</x:v>
      </x:c>
      <x:c r="J15" s="24" t="n">
        <x:f>SUM(G15:I15)</x:f>
        <x:v>2.8</x:v>
      </x:c>
      <x:c r="K15" s="26"/>
      <x:c r="L15" s="26"/>
      <x:c r="M15" s="27"/>
      <x:c r="N15" s="27"/>
      <x:c r="O15" s="27"/>
      <x:c r="P15" s="24" t="str">
        <x:f>IF(COUNT(M15:O15)=0,"",SUM(M15:O15))</x:f>
      </x:c>
      <x:c r="Q15" s="30" t="str">
        <x:v>План</x:v>
      </x:c>
      <x:c r="R15" s="34" t="str">
        <x:v>Матрицы МАИ</x:v>
      </x:c>
      <x:c r="S15" s="36" t="str"/>
      <x:c r="T15" t="str">
        <x:v>v1.0</x:v>
      </x:c>
    </x:row>
    <x:row r="16" ht="38" customHeight="1">
      <x:c r="A16" s="38" t="str">
        <x:v>1</x:v>
      </x:c>
      <x:c r="B16" s="38" t="str">
        <x:v>T11</x:v>
      </x:c>
      <x:c r="C16" s="34" t="str">
        <x:v>Сопоставление и анализ чувствительности</x:v>
      </x:c>
      <x:c r="D16" s="38" t="str">
        <x:v>Участник 2</x:v>
      </x:c>
      <x:c r="E16" s="22" t="n">
        <x:v>46313</x:v>
      </x:c>
      <x:c r="F16" s="22" t="n">
        <x:v>46313</x:v>
      </x:c>
      <x:c r="G16" s="24" t="n">
        <x:v>0.4</x:v>
      </x:c>
      <x:c r="H16" s="24" t="n">
        <x:v>0.9</x:v>
      </x:c>
      <x:c r="I16" s="24" t="n">
        <x:v>0.7</x:v>
      </x:c>
      <x:c r="J16" s="24" t="n">
        <x:f>SUM(G16:I16)</x:f>
        <x:v>2</x:v>
      </x:c>
      <x:c r="K16" s="26"/>
      <x:c r="L16" s="26"/>
      <x:c r="M16" s="27"/>
      <x:c r="N16" s="27"/>
      <x:c r="O16" s="27"/>
      <x:c r="P16" s="24" t="str">
        <x:f>IF(COUNT(M16:O16)=0,"",SUM(M16:O16))</x:f>
      </x:c>
      <x:c r="Q16" s="30" t="str">
        <x:v>План</x:v>
      </x:c>
      <x:c r="R16" s="34" t="str">
        <x:v>Сравнительная таблица</x:v>
      </x:c>
      <x:c r="S16" s="36" t="str"/>
      <x:c r="T16" t="str">
        <x:v>v1.0</x:v>
      </x:c>
    </x:row>
    <x:row r="17" ht="38" customHeight="1">
      <x:c r="A17" s="38" t="str">
        <x:v>1</x:v>
      </x:c>
      <x:c r="B17" s="38" t="str">
        <x:v>T12</x:v>
      </x:c>
      <x:c r="C17" s="34" t="str">
        <x:v>Общая встреча и решение команды</x:v>
      </x:c>
      <x:c r="D17" s="38" t="str">
        <x:v>Участник 1</x:v>
      </x:c>
      <x:c r="E17" s="22" t="n">
        <x:v>46313</x:v>
      </x:c>
      <x:c r="F17" s="22" t="n">
        <x:v>46313</x:v>
      </x:c>
      <x:c r="G17" s="24" t="n">
        <x:v>0.5</x:v>
      </x:c>
      <x:c r="H17" s="24" t="n">
        <x:v>0.5</x:v>
      </x:c>
      <x:c r="I17" s="24" t="n">
        <x:v>0.5</x:v>
      </x:c>
      <x:c r="J17" s="24" t="n">
        <x:f>SUM(G17:I17)</x:f>
        <x:v>1.5</x:v>
      </x:c>
      <x:c r="K17" s="26"/>
      <x:c r="L17" s="26"/>
      <x:c r="M17" s="27"/>
      <x:c r="N17" s="27"/>
      <x:c r="O17" s="27"/>
      <x:c r="P17" s="24" t="str">
        <x:f>IF(COUNT(M17:O17)=0,"",SUM(M17:O17))</x:f>
      </x:c>
      <x:c r="Q17" s="30" t="str">
        <x:v>План</x:v>
      </x:c>
      <x:c r="R17" s="34" t="str">
        <x:v>Протокол выбора</x:v>
      </x:c>
      <x:c r="S17" s="36" t="str"/>
      <x:c r="T17" t="str">
        <x:v>v1.0</x:v>
      </x:c>
    </x:row>
    <x:row r="18" ht="38" customHeight="1">
      <x:c r="A18" s="38" t="str">
        <x:v>1</x:v>
      </x:c>
      <x:c r="B18" s="38" t="str">
        <x:v>T13</x:v>
      </x:c>
      <x:c r="C18" s="34" t="str">
        <x:v>Сборка отчёта и актуализация RACI</x:v>
      </x:c>
      <x:c r="D18" s="38" t="str">
        <x:v>Участник 1</x:v>
      </x:c>
      <x:c r="E18" s="22" t="n">
        <x:v>46313</x:v>
      </x:c>
      <x:c r="F18" s="22" t="n">
        <x:v>46314</x:v>
      </x:c>
      <x:c r="G18" s="24" t="n">
        <x:v>2.2</x:v>
      </x:c>
      <x:c r="H18" s="24" t="n">
        <x:v>0.4</x:v>
      </x:c>
      <x:c r="I18" s="24" t="n">
        <x:v>0.3</x:v>
      </x:c>
      <x:c r="J18" s="24" t="n">
        <x:f>SUM(G18:I18)</x:f>
        <x:v>2.9</x:v>
      </x:c>
      <x:c r="K18" s="26"/>
      <x:c r="L18" s="26"/>
      <x:c r="M18" s="27"/>
      <x:c r="N18" s="27"/>
      <x:c r="O18" s="27"/>
      <x:c r="P18" s="24" t="str">
        <x:f>IF(COUNT(M18:O18)=0,"",SUM(M18:O18))</x:f>
      </x:c>
      <x:c r="Q18" s="30" t="str">
        <x:v>План</x:v>
      </x:c>
      <x:c r="R18" s="34" t="str">
        <x:v>Отчёт + RACI v1</x:v>
      </x:c>
      <x:c r="S18" s="36" t="str"/>
      <x:c r="T18" t="str">
        <x:v>v1.0</x:v>
      </x:c>
    </x:row>
    <x:row r="19" ht="38" customHeight="1">
      <x:c r="A19" s="38" t="str">
        <x:v>1</x:v>
      </x:c>
      <x:c r="B19" s="38" t="str">
        <x:v>T14</x:v>
      </x:c>
      <x:c r="C19" s="34" t="str">
        <x:v>Взаимная проверка методики и результатов</x:v>
      </x:c>
      <x:c r="D19" s="38" t="str">
        <x:v>Участник 3</x:v>
      </x:c>
      <x:c r="E19" s="22" t="n">
        <x:v>46314</x:v>
      </x:c>
      <x:c r="F19" s="22" t="n">
        <x:v>46314</x:v>
      </x:c>
      <x:c r="G19" s="24" t="n">
        <x:v>0.4</x:v>
      </x:c>
      <x:c r="H19" s="24" t="n">
        <x:v>0.6</x:v>
      </x:c>
      <x:c r="I19" s="24" t="n">
        <x:v>1</x:v>
      </x:c>
      <x:c r="J19" s="24" t="n">
        <x:f>SUM(G19:I19)</x:f>
        <x:v>2</x:v>
      </x:c>
      <x:c r="K19" s="26"/>
      <x:c r="L19" s="26"/>
      <x:c r="M19" s="27"/>
      <x:c r="N19" s="27"/>
      <x:c r="O19" s="27"/>
      <x:c r="P19" s="24" t="str">
        <x:f>IF(COUNT(M19:O19)=0,"",SUM(M19:O19))</x:f>
      </x:c>
      <x:c r="Q19" s="30" t="str">
        <x:v>План</x:v>
      </x:c>
      <x:c r="R19" s="34" t="str">
        <x:v>Чек-лист проверки</x:v>
      </x:c>
      <x:c r="S19" s="36" t="str"/>
      <x:c r="T19" t="str">
        <x:v>v1.0</x:v>
      </x:c>
    </x:row>
    <x:row r="20" ht="38" customHeight="1">
      <x:c r="A20" s="38" t="str">
        <x:v>1</x:v>
      </x:c>
      <x:c r="B20" s="38" t="str">
        <x:v>T15</x:v>
      </x:c>
      <x:c r="C20" s="34" t="str">
        <x:v>Публикация материалов в общей папке</x:v>
      </x:c>
      <x:c r="D20" s="38" t="str">
        <x:v>Участник 1</x:v>
      </x:c>
      <x:c r="E20" s="22" t="n">
        <x:v>46314</x:v>
      </x:c>
      <x:c r="F20" s="22" t="n">
        <x:v>46314</x:v>
      </x:c>
      <x:c r="G20" s="24" t="n">
        <x:v>0.4</x:v>
      </x:c>
      <x:c r="H20" s="24" t="n">
        <x:v>0</x:v>
      </x:c>
      <x:c r="I20" s="24" t="n">
        <x:v>0</x:v>
      </x:c>
      <x:c r="J20" s="24" t="n">
        <x:f>SUM(G20:I20)</x:f>
        <x:v>0.4</x:v>
      </x:c>
      <x:c r="K20" s="26"/>
      <x:c r="L20" s="26"/>
      <x:c r="M20" s="27"/>
      <x:c r="N20" s="27"/>
      <x:c r="O20" s="27"/>
      <x:c r="P20" s="24" t="str">
        <x:f>IF(COUNT(M20:O20)=0,"",SUM(M20:O20))</x:f>
      </x:c>
      <x:c r="Q20" s="30" t="str">
        <x:v>План</x:v>
      </x:c>
      <x:c r="R20" s="34" t="str">
        <x:v>Ссылка на архив</x:v>
      </x:c>
      <x:c r="S20" s="36" t="str"/>
      <x:c r="T20" t="str">
        <x:v>v1.0</x:v>
      </x:c>
    </x:row>
  </x:sheetData>
  <x:mergeCells>
    <x:mergeCell ref="A1:T1"/>
    <x:mergeCell ref="A3:T3"/>
  </x:mergeCells>
  <x:dataValidations count="1">
    <x:dataValidation type="list" sqref="Q6:Q20">
      <x:formula1>"План,В работе,Готово,Блокировано,Отменено"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30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35" hidden="0" customWidth="1"/>
  </x:cols>
  <x:sheetData>
    <x:row r="1" ht="33" customHeight="1">
      <x:c r="A1" s="4" t="str">
        <x:v>Фаза 1 · контроль плановых трудозатрат</x:v>
      </x:c>
      <x:c r="B1" s="4"/>
      <x:c r="C1" s="4"/>
      <x:c r="D1" s="4"/>
      <x:c r="E1" s="4"/>
      <x:c r="F1" s="4"/>
    </x:row>
    <x:row r="3" ht="36" customHeight="1">
      <x:c r="A3" s="11" t="str">
        <x:v>Сводка относится к запланированным задачам T01–T15. Данные «факт» появятся только после заполнения голубых полей журнала.</x:v>
      </x:c>
      <x:c r="B3" s="11"/>
      <x:c r="C3" s="11"/>
      <x:c r="D3" s="11"/>
      <x:c r="E3" s="11"/>
      <x:c r="F3" s="11"/>
    </x:row>
    <x:row r="5" ht="32" customHeight="1">
      <x:c r="A5" s="18" t="str">
        <x:v>Показатель</x:v>
      </x:c>
      <x:c r="B5" s="18" t="str">
        <x:v>Значение</x:v>
      </x:c>
    </x:row>
    <x:row r="6" ht="27" customHeight="1">
      <x:c r="A6" t="str">
        <x:v>Всего задач, шт.</x:v>
      </x:c>
      <x:c r="B6" t="n">
        <x:f>COUNTA('Журнал задач'!B6:B20)</x:f>
        <x:v>15</x:v>
      </x:c>
    </x:row>
    <x:row r="7" ht="27" customHeight="1">
      <x:c r="A7" t="str">
        <x:v>План, чел·ч</x:v>
      </x:c>
      <x:c r="B7" s="24" t="n">
        <x:f>SUM('Журнал задач'!J6:J20)</x:f>
        <x:v>29.3</x:v>
      </x:c>
    </x:row>
    <x:row r="8" ht="27" customHeight="1">
      <x:c r="A8" t="str">
        <x:v>Факт, чел·ч</x:v>
      </x:c>
      <x:c r="B8" s="24" t="str">
        <x:f>IF(COUNT('Журнал задач'!M6:O20)=0,"",SUM('Журнал задач'!M6:O20))</x:f>
      </x:c>
    </x:row>
    <x:row r="9" ht="27" customHeight="1">
      <x:c r="A9" t="str">
        <x:v>Участник 1 · план, ч</x:v>
      </x:c>
      <x:c r="B9" s="24" t="n">
        <x:f>SUM('Журнал задач'!G6:G20)</x:f>
        <x:v>9.700000000000003</x:v>
      </x:c>
    </x:row>
    <x:row r="10" ht="27" customHeight="1">
      <x:c r="A10" t="str">
        <x:v>Участник 2 · план, ч</x:v>
      </x:c>
      <x:c r="B10" s="24" t="n">
        <x:f>SUM('Журнал задач'!H6:H20)</x:f>
        <x:v>9.6</x:v>
      </x:c>
    </x:row>
    <x:row r="11" ht="27" customHeight="1">
      <x:c r="A11" t="str">
        <x:v>Участник 3 · план, ч</x:v>
      </x:c>
      <x:c r="B11" s="24" t="n">
        <x:f>SUM('Журнал задач'!I6:I20)</x:f>
        <x:v>10</x:v>
      </x:c>
    </x:row>
    <x:row r="12" ht="27" customHeight="1">
      <x:c r="A12" t="str">
        <x:v>Готово задач, шт.</x:v>
      </x:c>
      <x:c r="B12" t="n">
        <x:f>COUNTIF('Журнал задач'!Q6:Q20,"Готово")</x:f>
        <x:v>0</x:v>
      </x:c>
    </x:row>
    <x:row r="13" ht="27" customHeight="1">
      <x:c r="A13" t="str">
        <x:v>План задач, шт.</x:v>
      </x:c>
      <x:c r="B13" t="n">
        <x:f>COUNTIF('Журнал задач'!Q6:Q20,"План")</x:f>
        <x:v>15</x:v>
      </x:c>
    </x:row>
    <x:row r="16">
      <x:c r="A16" t="str">
        <x:v>Что означает «чистое время»</x:v>
      </x:c>
      <x:c r="B16"/>
      <x:c r="C16"/>
      <x:c r="D16"/>
      <x:c r="E16"/>
      <x:c r="F16"/>
    </x:row>
    <x:row r="17" ht="36" customHeight="1">
      <x:c r="A17" s="11" t="str">
        <x:v>Встреча продолжительностью 30 минут с тремя участниками — 1,5 человеко-часа. Перерывы не включаются; параллельная работа участников суммируется.</x:v>
      </x:c>
      <x:c r="B17" s="11"/>
      <x:c r="C17" s="11"/>
      <x:c r="D17" s="11"/>
      <x:c r="E17" s="11"/>
      <x:c r="F17" s="11"/>
    </x:row>
  </x:sheetData>
  <x:mergeCells>
    <x:mergeCell ref="A1:F1"/>
    <x:mergeCell ref="A3:F3"/>
    <x:mergeCell ref="A17:F17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108" hidden="0" customWidth="1"/>
    <x:col min="3" max="3" width="12" hidden="0" customWidth="1"/>
    <x:col min="4" max="4" width="12" hidden="0" customWidth="1"/>
    <x:col min="5" max="5" width="12" hidden="0" customWidth="1"/>
  </x:cols>
  <x:sheetData>
    <x:row r="1" ht="33" customHeight="1">
      <x:c r="A1" s="4" t="str">
        <x:v>Правила ведения задач</x:v>
      </x:c>
      <x:c r="B1" s="4"/>
      <x:c r="C1" s="4"/>
      <x:c r="D1" s="4"/>
      <x:c r="E1" s="4"/>
    </x:row>
    <x:row r="3" ht="36" customHeight="1">
      <x:c r="A3" s="11" t="str">
        <x:v>Этот файл — единственный сквозной журнал проекта. В расчетной книге есть снимок задач фазы 1, который при необходимости обновляется вручную.</x:v>
      </x:c>
      <x:c r="B3" s="11"/>
      <x:c r="C3" s="11"/>
      <x:c r="D3" s="11"/>
      <x:c r="E3" s="11"/>
    </x:row>
    <x:row r="5" ht="32" customHeight="1">
      <x:c r="A5" s="18" t="str">
        <x:v>Правило</x:v>
      </x:c>
      <x:c r="B5" s="18" t="str">
        <x:v>Описание</x:v>
      </x:c>
    </x:row>
    <x:row r="6" ht="51" customHeight="1">
      <x:c r="A6" s="34" t="str">
        <x:v>Декомпозиция</x:v>
      </x:c>
      <x:c r="B6" s="34" t="str">
        <x:v>Любая работа по фазе (аналитика, митинг, чтение материалов, проверка, публикация) получает ID, сроки, ответственного и часы.</x:v>
      </x:c>
    </x:row>
    <x:row r="7" ht="51" customHeight="1">
      <x:c r="A7" s="34" t="str">
        <x:v>Период</x:v>
      </x:c>
      <x:c r="B7" s="34" t="str">
        <x:v>План начало/конец — прогноз; факт начало/конец заполняются только по выполненным работам.</x:v>
      </x:c>
    </x:row>
    <x:row r="8" ht="51" customHeight="1">
      <x:c r="A8" s="34" t="str">
        <x:v>Чистое время</x:v>
      </x:c>
      <x:c r="B8" s="34" t="str">
        <x:v>Учитывайте время фактической работы без пауз. В коллективных встречах учитывайте затраты каждого участника отдельно.</x:v>
      </x:c>
    </x:row>
    <x:row r="9" ht="51" customHeight="1">
      <x:c r="A9" s="34" t="str">
        <x:v>Статусы</x:v>
      </x:c>
      <x:c r="B9" s="34" t="str">
        <x:v>План / В работе / Готово / Блокировано / Отменено. Не ставьте «Готово», если артефакт ещё не проверен.</x:v>
      </x:c>
    </x:row>
    <x:row r="10" ht="51" customHeight="1">
      <x:c r="A10" s="34" t="str">
        <x:v>Связи</x:v>
      </x:c>
      <x:c r="B10" s="34" t="str">
        <x:v>ID задач совпадают с ID в RACI. В поле «Артефакт» и ссылке указывайте фактический файл/страницу.</x:v>
      </x:c>
    </x:row>
    <x:row r="11" ht="51" customHeight="1">
      <x:c r="A11" s="34" t="str">
        <x:v>Новые фазы</x:v>
      </x:c>
      <x:c r="B11" s="34" t="str">
        <x:v>Добавляйте новые задачи ниже T15, давайте им новые уникальные ID; дополняйте RACI и историю изменений.</x:v>
      </x:c>
    </x:row>
    <x:row r="12" ht="51" customHeight="1">
      <x:c r="A12" s="34" t="str">
        <x:v>Контроль</x:v>
      </x:c>
      <x:c r="B12" s="34" t="str">
        <x:v>После каждой фазы сохраните отчёт, обновите статусы, реальное время, RACI, и дату утверждения.</x:v>
      </x:c>
    </x:row>
  </x:sheetData>
  <x:mergeCells>
    <x:mergeCell ref="A1:E1"/>
    <x:mergeCell ref="A3:E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6" hidden="0" customWidth="1"/>
    <x:col min="2" max="2" width="22" hidden="0" customWidth="1"/>
    <x:col min="3" max="3" width="12" hidden="0" customWidth="1"/>
    <x:col min="4" max="4" width="75" hidden="0" customWidth="1"/>
    <x:col min="5" max="5" width="28" hidden="0" customWidth="1"/>
    <x:col min="6" max="6" width="30" hidden="0" customWidth="1"/>
  </x:cols>
  <x:sheetData>
    <x:row r="1" ht="33" customHeight="1">
      <x:c r="A1" s="4" t="str">
        <x:v>История изменений журнала</x:v>
      </x:c>
      <x:c r="B1" s="4"/>
      <x:c r="C1" s="4"/>
      <x:c r="D1" s="4"/>
      <x:c r="E1" s="4"/>
      <x:c r="F1" s="4"/>
    </x:row>
    <x:row r="4" ht="32" customHeight="1">
      <x:c r="A4" s="18" t="str">
        <x:v>Дата</x:v>
      </x:c>
      <x:c r="B4" s="18" t="str">
        <x:v>Версия</x:v>
      </x:c>
      <x:c r="C4" s="18" t="str">
        <x:v>Фаза</x:v>
      </x:c>
      <x:c r="D4" s="18" t="str">
        <x:v>Изменение</x:v>
      </x:c>
      <x:c r="E4" s="18" t="str">
        <x:v>Редактор</x:v>
      </x:c>
      <x:c r="F4" s="18" t="str">
        <x:v>Статус</x:v>
      </x:c>
    </x:row>
    <x:row r="5" ht="43" customHeight="1">
      <x:c r="A5" s="22" t="n">
        <x:v>46308</x:v>
      </x:c>
      <x:c r="B5" t="str">
        <x:v>v1.0 (черновик)</x:v>
      </x:c>
      <x:c r="C5" t="str">
        <x:v>1</x:v>
      </x:c>
      <x:c r="D5" s="34" t="str">
        <x:v>Перенесены T01–T15 из исходной книги; плановые часы и сроки, факт не выдуман.</x:v>
      </x:c>
      <x:c r="E5" s="34" t="str">
        <x:v>Участник 1 (план)</x:v>
      </x:c>
      <x:c r="F5" s="34" t="str">
        <x:v>Ожидает согласования</x:v>
      </x:c>
    </x:row>
  </x:sheetData>
  <x:mergeCells>
    <x:mergeCell ref="A1:F1"/>
  </x:mergeCells>
  <x:pageMargins left="0.7" right="0.7" top="0.75" bottom="0.75" header="0.3" footer="0.3"/>
</x:worksheet>
</file>