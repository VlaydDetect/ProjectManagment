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Works\VSU\ProjectManagment\phase-01\management\"/>
    </mc:Choice>
  </mc:AlternateContent>
  <xr:revisionPtr revIDLastSave="0" documentId="11_C01CC778F1B409FF618E85DC6F102D09FEB88B0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Журнал задач" sheetId="1" r:id="rId1"/>
    <sheet name="Сводка" sheetId="2" r:id="rId2"/>
    <sheet name="Правила учёта" sheetId="3" r:id="rId3"/>
    <sheet name="История изменени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  <c r="B8" i="2"/>
  <c r="B6" i="2"/>
  <c r="P20" i="1"/>
  <c r="J20" i="1"/>
  <c r="P19" i="1"/>
  <c r="J19" i="1"/>
  <c r="P18" i="1"/>
  <c r="J18" i="1"/>
  <c r="P17" i="1"/>
  <c r="J17" i="1"/>
  <c r="P16" i="1"/>
  <c r="J16" i="1"/>
  <c r="P15" i="1"/>
  <c r="J15" i="1"/>
  <c r="P14" i="1"/>
  <c r="J14" i="1"/>
  <c r="P13" i="1"/>
  <c r="J13" i="1"/>
  <c r="P12" i="1"/>
  <c r="J12" i="1"/>
  <c r="P11" i="1"/>
  <c r="J11" i="1"/>
  <c r="P10" i="1"/>
  <c r="J10" i="1"/>
  <c r="P9" i="1"/>
  <c r="J9" i="1"/>
  <c r="P8" i="1"/>
  <c r="J8" i="1"/>
  <c r="P7" i="1"/>
  <c r="J7" i="1"/>
  <c r="P6" i="1"/>
  <c r="J6" i="1"/>
  <c r="B7" i="2" s="1"/>
</calcChain>
</file>

<file path=xl/sharedStrings.xml><?xml version="1.0" encoding="utf-8"?>
<sst xmlns="http://schemas.openxmlformats.org/spreadsheetml/2006/main" count="171" uniqueCount="111">
  <si>
    <t>Сквозной журнал задач · план и факт</t>
  </si>
  <si>
    <t>Видны плановые сроки и чистые часы. Фактические даты/часы пустые: не заполняйте их до выполнения работ. Все 15 задач имеют статус «План».</t>
  </si>
  <si>
    <t>Фаза</t>
  </si>
  <si>
    <t>ID</t>
  </si>
  <si>
    <t>Задача</t>
  </si>
  <si>
    <t>Владелец (A)</t>
  </si>
  <si>
    <t>План начало</t>
  </si>
  <si>
    <t>План конец</t>
  </si>
  <si>
    <t>У1 план, ч</t>
  </si>
  <si>
    <t>У2 план, ч</t>
  </si>
  <si>
    <t>У3 план, ч</t>
  </si>
  <si>
    <t>План, чел·ч</t>
  </si>
  <si>
    <t>Факт начало</t>
  </si>
  <si>
    <t>Факт конец</t>
  </si>
  <si>
    <t>У1 факт, ч</t>
  </si>
  <si>
    <t>У2 факт, ч</t>
  </si>
  <si>
    <t>У3 факт, ч</t>
  </si>
  <si>
    <t>Факт, чел·ч</t>
  </si>
  <si>
    <t>Статус</t>
  </si>
  <si>
    <t>Артефакт</t>
  </si>
  <si>
    <t>Ссылка/примечание</t>
  </si>
  <si>
    <t>Версия</t>
  </si>
  <si>
    <t>1</t>
  </si>
  <si>
    <t>T01</t>
  </si>
  <si>
    <t>Установочная встреча, правила и роли</t>
  </si>
  <si>
    <t>Участник 1</t>
  </si>
  <si>
    <t>План</t>
  </si>
  <si>
    <t>Протокол встречи</t>
  </si>
  <si>
    <t>v1.0</t>
  </si>
  <si>
    <t>T02</t>
  </si>
  <si>
    <t>Концепция и 12 UC StudyFlow</t>
  </si>
  <si>
    <t>Паспорт A1</t>
  </si>
  <si>
    <t>T03</t>
  </si>
  <si>
    <t>Концепция и 12 UC CampusEvents</t>
  </si>
  <si>
    <t>Участник 2</t>
  </si>
  <si>
    <t>Паспорт A2</t>
  </si>
  <si>
    <t>T04</t>
  </si>
  <si>
    <t>Концепция и 12 UC BookSwap</t>
  </si>
  <si>
    <t>Участник 3</t>
  </si>
  <si>
    <t>Паспорт A3</t>
  </si>
  <si>
    <t>T05</t>
  </si>
  <si>
    <t>Концепция и 12 UC SkillBridge</t>
  </si>
  <si>
    <t>Паспорт A4</t>
  </si>
  <si>
    <t>T06</t>
  </si>
  <si>
    <t>Критерии, шкала и формулировки</t>
  </si>
  <si>
    <t>Критерии K1–K5</t>
  </si>
  <si>
    <t>T07</t>
  </si>
  <si>
    <t>Независимые балльные оценки (TOPSIS)</t>
  </si>
  <si>
    <t>3 опросных листа</t>
  </si>
  <si>
    <t>T08</t>
  </si>
  <si>
    <t>Расчёт коллективного нечёткого TOPSIS</t>
  </si>
  <si>
    <t>Таблица TOPSIS</t>
  </si>
  <si>
    <t>T09</t>
  </si>
  <si>
    <t>Независимые попарные сравнения МАИ</t>
  </si>
  <si>
    <t>3 комплекта суждений</t>
  </si>
  <si>
    <t>T10</t>
  </si>
  <si>
    <t>Агрегация МАИ и проверка CR</t>
  </si>
  <si>
    <t>Матрицы МАИ</t>
  </si>
  <si>
    <t>T11</t>
  </si>
  <si>
    <t>Сопоставление и анализ чувствительности</t>
  </si>
  <si>
    <t>Сравнительная таблица</t>
  </si>
  <si>
    <t>T12</t>
  </si>
  <si>
    <t>Общая встреча и решение команды</t>
  </si>
  <si>
    <t>Протокол выбора</t>
  </si>
  <si>
    <t>T13</t>
  </si>
  <si>
    <t>Сборка отчёта и актуализация RACI</t>
  </si>
  <si>
    <t>Отчёт + RACI v1</t>
  </si>
  <si>
    <t>T14</t>
  </si>
  <si>
    <t>Взаимная проверка методики и результатов</t>
  </si>
  <si>
    <t>Чек-лист проверки</t>
  </si>
  <si>
    <t>T15</t>
  </si>
  <si>
    <t>Публикация материалов в общей папке</t>
  </si>
  <si>
    <t>Ссылка на архив</t>
  </si>
  <si>
    <t>Фаза 1 · контроль плановых трудозатрат</t>
  </si>
  <si>
    <t>Сводка относится к запланированным задачам T01–T15. Данные «факт» появятся только после заполнения голубых полей журнала.</t>
  </si>
  <si>
    <t>Показатель</t>
  </si>
  <si>
    <t>Значение</t>
  </si>
  <si>
    <t>Всего задач, шт.</t>
  </si>
  <si>
    <t>Участник 1 · план, ч</t>
  </si>
  <si>
    <t>Участник 2 · план, ч</t>
  </si>
  <si>
    <t>Участник 3 · план, ч</t>
  </si>
  <si>
    <t>Готово задач, шт.</t>
  </si>
  <si>
    <t>План задач, шт.</t>
  </si>
  <si>
    <t>Что означает «чистое время»</t>
  </si>
  <si>
    <t>Встреча продолжительностью 30 минут с тремя участниками — 1,5 человеко-часа. Перерывы не включаются; параллельная работа участников суммируется.</t>
  </si>
  <si>
    <t>Правила ведения задач</t>
  </si>
  <si>
    <t>Этот файл — единственный сквозной журнал проекта. В расчетной книге есть снимок задач фазы 1, который при необходимости обновляется вручную.</t>
  </si>
  <si>
    <t>Правило</t>
  </si>
  <si>
    <t>Описание</t>
  </si>
  <si>
    <t>Декомпозиция</t>
  </si>
  <si>
    <t>Любая работа по фазе (аналитика, митинг, чтение материалов, проверка, публикация) получает ID, сроки, ответственного и часы.</t>
  </si>
  <si>
    <t>Период</t>
  </si>
  <si>
    <t>План начало/конец — прогноз; факт начало/конец заполняются только по выполненным работам.</t>
  </si>
  <si>
    <t>Чистое время</t>
  </si>
  <si>
    <t>Учитывайте время фактической работы без пауз. В коллективных встречах учитывайте затраты каждого участника отдельно.</t>
  </si>
  <si>
    <t>Статусы</t>
  </si>
  <si>
    <t>План / В работе / Готово / Блокировано / Отменено. Не ставьте «Готово», если артефакт ещё не проверен.</t>
  </si>
  <si>
    <t>Связи</t>
  </si>
  <si>
    <t>ID задач совпадают с ID в RACI. В поле «Артефакт» и ссылке указывайте фактический файл/страницу.</t>
  </si>
  <si>
    <t>Новые фазы</t>
  </si>
  <si>
    <t>Добавляйте новые задачи ниже T15, давайте им новые уникальные ID; дополняйте RACI и историю изменений.</t>
  </si>
  <si>
    <t>Контроль</t>
  </si>
  <si>
    <t>После каждой фазы сохраните отчёт, обновите статусы, реальное время, RACI, и дату утверждения.</t>
  </si>
  <si>
    <t>История изменений журнала</t>
  </si>
  <si>
    <t>Дата</t>
  </si>
  <si>
    <t>Изменение</t>
  </si>
  <si>
    <t>Редактор</t>
  </si>
  <si>
    <t>v1.0 (черновик)</t>
  </si>
  <si>
    <t>Перенесены T01–T15 из исходной книги; плановые часы и сроки, факт не выдуман.</t>
  </si>
  <si>
    <t>Участник 1 (план)</t>
  </si>
  <si>
    <t>Ожидает согласования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</si>
</sst>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5">
    <font>
      <sz val="11"/>
      <name val="Carlito"/>
    </font>
    <font>
      <b/>
      <sz val="15"/>
      <color rgb="FFFFFFFF"/>
      <name val="Carlito"/>
    </font>
    <font>
      <sz val="10"/>
      <color rgb="FF15304B"/>
      <name val="Carlito"/>
    </font>
    <font>
      <b/>
      <sz val="10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5304B"/>
      </patternFill>
    </fill>
    <fill>
      <patternFill patternType="solid">
        <fgColor rgb="FFEAF2F8"/>
      </patternFill>
    </fill>
    <fill>
      <patternFill patternType="solid">
        <fgColor rgb="FFE5F1FE"/>
      </patternFill>
    </fill>
    <fill>
      <patternFill patternType="solid">
        <fgColor rgb="FFFFF3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3" fillId="2" borderId="0" xfId="1" applyFont="1" applyFill="1" applyAlignment="1">
      <alignment vertical="center" wrapText="1"/>
    </xf>
    <xf numFmtId="164" fontId="0" fillId="0" borderId="0" xfId="1" applyNumberFormat="1" applyFont="1"/>
    <xf numFmtId="165" fontId="0" fillId="0" borderId="0" xfId="1" applyNumberFormat="1" applyFont="1"/>
    <xf numFmtId="164" fontId="0" fillId="4" borderId="0" xfId="1" applyNumberFormat="1" applyFont="1" applyFill="1"/>
    <xf numFmtId="165" fontId="0" fillId="4" borderId="0" xfId="1" applyNumberFormat="1" applyFont="1" applyFill="1"/>
    <xf numFmtId="0" fontId="0" fillId="5" borderId="0" xfId="1" applyFont="1" applyFill="1"/>
    <xf numFmtId="0" fontId="0" fillId="0" borderId="0" xfId="1" applyFont="1" applyAlignment="1">
      <alignment wrapText="1"/>
    </xf>
    <xf numFmtId="0" fontId="0" fillId="4" borderId="0" xfId="1" applyFont="1" applyFill="1" applyAlignment="1">
      <alignment wrapText="1"/>
    </xf>
    <xf numFmtId="0" fontId="0" fillId="0" borderId="0" xfId="1" applyFont="1" applyAlignment="1">
      <alignment horizont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pane ySplit="5" topLeftCell="A9" activePane="bottomLeft" state="frozen"/>
      <selection pane="bottomLeft" sqref="A1:T1"/>
    </sheetView>
  </sheetViews>
  <sheetFormatPr defaultRowHeight="13.8"/>
  <cols>
    <col min="1" max="2" width="9" customWidth="1"/>
    <col min="3" max="3" width="50" customWidth="1"/>
    <col min="4" max="4" width="19" customWidth="1"/>
    <col min="5" max="6" width="16" customWidth="1"/>
    <col min="7" max="9" width="14" customWidth="1"/>
    <col min="10" max="10" width="15" customWidth="1"/>
    <col min="11" max="12" width="16" customWidth="1"/>
    <col min="13" max="15" width="14" customWidth="1"/>
    <col min="16" max="16" width="15" customWidth="1"/>
    <col min="17" max="17" width="19" customWidth="1"/>
    <col min="18" max="18" width="29" customWidth="1"/>
    <col min="19" max="19" width="46" customWidth="1"/>
    <col min="20" max="20" width="12" customWidth="1"/>
  </cols>
  <sheetData>
    <row r="1" spans="1:20" ht="33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3" spans="1:20" ht="36" customHeight="1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5" spans="1:20" ht="31.9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</row>
    <row r="6" spans="1:20" ht="37.950000000000003" customHeight="1">
      <c r="A6" s="9" t="s">
        <v>22</v>
      </c>
      <c r="B6" s="9" t="s">
        <v>23</v>
      </c>
      <c r="C6" s="7" t="s">
        <v>24</v>
      </c>
      <c r="D6" s="9" t="s">
        <v>25</v>
      </c>
      <c r="E6" s="2">
        <v>46309</v>
      </c>
      <c r="F6" s="2">
        <v>46309</v>
      </c>
      <c r="G6" s="3">
        <v>0.5</v>
      </c>
      <c r="H6" s="3">
        <v>0.5</v>
      </c>
      <c r="I6" s="3">
        <v>0.5</v>
      </c>
      <c r="J6" s="3">
        <f t="shared" ref="J6:J20" si="0">SUM(G6:I6)</f>
        <v>1.5</v>
      </c>
      <c r="K6" s="4"/>
      <c r="L6" s="4"/>
      <c r="M6" s="5"/>
      <c r="N6" s="5"/>
      <c r="O6" s="5"/>
      <c r="P6" s="3" t="str">
        <f t="shared" ref="P6:P20" si="1">IF(COUNT(M6:O6)=0,"",SUM(M6:O6))</f>
        <v/>
      </c>
      <c r="Q6" s="6" t="s">
        <v>26</v>
      </c>
      <c r="R6" s="7" t="s">
        <v>27</v>
      </c>
      <c r="S6" s="8"/>
      <c r="T6" t="s">
        <v>28</v>
      </c>
    </row>
    <row r="7" spans="1:20" ht="37.950000000000003" customHeight="1">
      <c r="A7" s="9" t="s">
        <v>22</v>
      </c>
      <c r="B7" s="9" t="s">
        <v>29</v>
      </c>
      <c r="C7" s="7" t="s">
        <v>30</v>
      </c>
      <c r="D7" s="9" t="s">
        <v>25</v>
      </c>
      <c r="E7" s="2">
        <v>46309</v>
      </c>
      <c r="F7" s="2">
        <v>46309</v>
      </c>
      <c r="G7" s="3">
        <v>1.4</v>
      </c>
      <c r="H7" s="3">
        <v>0</v>
      </c>
      <c r="I7" s="3">
        <v>0</v>
      </c>
      <c r="J7" s="3">
        <f t="shared" si="0"/>
        <v>1.4</v>
      </c>
      <c r="K7" s="4"/>
      <c r="L7" s="4"/>
      <c r="M7" s="5"/>
      <c r="N7" s="5"/>
      <c r="O7" s="5"/>
      <c r="P7" s="3" t="str">
        <f t="shared" si="1"/>
        <v/>
      </c>
      <c r="Q7" s="6" t="s">
        <v>26</v>
      </c>
      <c r="R7" s="7" t="s">
        <v>31</v>
      </c>
      <c r="S7" s="8"/>
      <c r="T7" t="s">
        <v>28</v>
      </c>
    </row>
    <row r="8" spans="1:20" ht="37.950000000000003" customHeight="1">
      <c r="A8" s="9" t="s">
        <v>22</v>
      </c>
      <c r="B8" s="9" t="s">
        <v>32</v>
      </c>
      <c r="C8" s="7" t="s">
        <v>33</v>
      </c>
      <c r="D8" s="9" t="s">
        <v>34</v>
      </c>
      <c r="E8" s="2">
        <v>46309</v>
      </c>
      <c r="F8" s="2">
        <v>46309</v>
      </c>
      <c r="G8" s="3">
        <v>0</v>
      </c>
      <c r="H8" s="3">
        <v>1.4</v>
      </c>
      <c r="I8" s="3">
        <v>0</v>
      </c>
      <c r="J8" s="3">
        <f t="shared" si="0"/>
        <v>1.4</v>
      </c>
      <c r="K8" s="4"/>
      <c r="L8" s="4"/>
      <c r="M8" s="5"/>
      <c r="N8" s="5"/>
      <c r="O8" s="5"/>
      <c r="P8" s="3" t="str">
        <f t="shared" si="1"/>
        <v/>
      </c>
      <c r="Q8" s="6" t="s">
        <v>26</v>
      </c>
      <c r="R8" s="7" t="s">
        <v>35</v>
      </c>
      <c r="S8" s="8"/>
      <c r="T8" t="s">
        <v>28</v>
      </c>
    </row>
    <row r="9" spans="1:20" ht="37.950000000000003" customHeight="1">
      <c r="A9" s="9" t="s">
        <v>22</v>
      </c>
      <c r="B9" s="9" t="s">
        <v>36</v>
      </c>
      <c r="C9" s="7" t="s">
        <v>37</v>
      </c>
      <c r="D9" s="9" t="s">
        <v>38</v>
      </c>
      <c r="E9" s="2">
        <v>46310</v>
      </c>
      <c r="F9" s="2">
        <v>46310</v>
      </c>
      <c r="G9" s="3">
        <v>0.4</v>
      </c>
      <c r="H9" s="3">
        <v>0</v>
      </c>
      <c r="I9" s="3">
        <v>1</v>
      </c>
      <c r="J9" s="3">
        <f t="shared" si="0"/>
        <v>1.4</v>
      </c>
      <c r="K9" s="4"/>
      <c r="L9" s="4"/>
      <c r="M9" s="5"/>
      <c r="N9" s="5"/>
      <c r="O9" s="5"/>
      <c r="P9" s="3" t="str">
        <f t="shared" si="1"/>
        <v/>
      </c>
      <c r="Q9" s="6" t="s">
        <v>26</v>
      </c>
      <c r="R9" s="7" t="s">
        <v>39</v>
      </c>
      <c r="S9" s="8"/>
      <c r="T9" t="s">
        <v>28</v>
      </c>
    </row>
    <row r="10" spans="1:20" ht="37.950000000000003" customHeight="1">
      <c r="A10" s="9" t="s">
        <v>22</v>
      </c>
      <c r="B10" s="9" t="s">
        <v>40</v>
      </c>
      <c r="C10" s="7" t="s">
        <v>41</v>
      </c>
      <c r="D10" s="9" t="s">
        <v>38</v>
      </c>
      <c r="E10" s="2">
        <v>46310</v>
      </c>
      <c r="F10" s="2">
        <v>46310</v>
      </c>
      <c r="G10" s="3">
        <v>0</v>
      </c>
      <c r="H10" s="3">
        <v>0.4</v>
      </c>
      <c r="I10" s="3">
        <v>1</v>
      </c>
      <c r="J10" s="3">
        <f t="shared" si="0"/>
        <v>1.4</v>
      </c>
      <c r="K10" s="4"/>
      <c r="L10" s="4"/>
      <c r="M10" s="5"/>
      <c r="N10" s="5"/>
      <c r="O10" s="5"/>
      <c r="P10" s="3" t="str">
        <f t="shared" si="1"/>
        <v/>
      </c>
      <c r="Q10" s="6" t="s">
        <v>26</v>
      </c>
      <c r="R10" s="7" t="s">
        <v>42</v>
      </c>
      <c r="S10" s="8"/>
      <c r="T10" t="s">
        <v>28</v>
      </c>
    </row>
    <row r="11" spans="1:20" ht="37.950000000000003" customHeight="1">
      <c r="A11" s="9" t="s">
        <v>22</v>
      </c>
      <c r="B11" s="9" t="s">
        <v>43</v>
      </c>
      <c r="C11" s="7" t="s">
        <v>44</v>
      </c>
      <c r="D11" s="9" t="s">
        <v>25</v>
      </c>
      <c r="E11" s="2">
        <v>46310</v>
      </c>
      <c r="F11" s="2">
        <v>46310</v>
      </c>
      <c r="G11" s="3">
        <v>1.1000000000000001</v>
      </c>
      <c r="H11" s="3">
        <v>0.4</v>
      </c>
      <c r="I11" s="3">
        <v>0.4</v>
      </c>
      <c r="J11" s="3">
        <f t="shared" si="0"/>
        <v>1.9</v>
      </c>
      <c r="K11" s="4"/>
      <c r="L11" s="4"/>
      <c r="M11" s="5"/>
      <c r="N11" s="5"/>
      <c r="O11" s="5"/>
      <c r="P11" s="3" t="str">
        <f t="shared" si="1"/>
        <v/>
      </c>
      <c r="Q11" s="6" t="s">
        <v>26</v>
      </c>
      <c r="R11" s="7" t="s">
        <v>45</v>
      </c>
      <c r="S11" s="8"/>
      <c r="T11" t="s">
        <v>28</v>
      </c>
    </row>
    <row r="12" spans="1:20" ht="37.950000000000003" customHeight="1">
      <c r="A12" s="9" t="s">
        <v>22</v>
      </c>
      <c r="B12" s="9" t="s">
        <v>46</v>
      </c>
      <c r="C12" s="7" t="s">
        <v>47</v>
      </c>
      <c r="D12" s="9" t="s">
        <v>34</v>
      </c>
      <c r="E12" s="2">
        <v>46310</v>
      </c>
      <c r="F12" s="2">
        <v>46311</v>
      </c>
      <c r="G12" s="3">
        <v>0.8</v>
      </c>
      <c r="H12" s="3">
        <v>0.8</v>
      </c>
      <c r="I12" s="3">
        <v>0.8</v>
      </c>
      <c r="J12" s="3">
        <f t="shared" si="0"/>
        <v>2.4000000000000004</v>
      </c>
      <c r="K12" s="4"/>
      <c r="L12" s="4"/>
      <c r="M12" s="5"/>
      <c r="N12" s="5"/>
      <c r="O12" s="5"/>
      <c r="P12" s="3" t="str">
        <f t="shared" si="1"/>
        <v/>
      </c>
      <c r="Q12" s="6" t="s">
        <v>26</v>
      </c>
      <c r="R12" s="7" t="s">
        <v>48</v>
      </c>
      <c r="S12" s="8"/>
      <c r="T12" t="s">
        <v>28</v>
      </c>
    </row>
    <row r="13" spans="1:20" ht="37.950000000000003" customHeight="1">
      <c r="A13" s="9" t="s">
        <v>22</v>
      </c>
      <c r="B13" s="9" t="s">
        <v>49</v>
      </c>
      <c r="C13" s="7" t="s">
        <v>50</v>
      </c>
      <c r="D13" s="9" t="s">
        <v>34</v>
      </c>
      <c r="E13" s="2">
        <v>46311</v>
      </c>
      <c r="F13" s="2">
        <v>46312</v>
      </c>
      <c r="G13" s="3">
        <v>0.2</v>
      </c>
      <c r="H13" s="3">
        <v>2.2000000000000002</v>
      </c>
      <c r="I13" s="3">
        <v>0.3</v>
      </c>
      <c r="J13" s="3">
        <f t="shared" si="0"/>
        <v>2.7</v>
      </c>
      <c r="K13" s="4"/>
      <c r="L13" s="4"/>
      <c r="M13" s="5"/>
      <c r="N13" s="5"/>
      <c r="O13" s="5"/>
      <c r="P13" s="3" t="str">
        <f t="shared" si="1"/>
        <v/>
      </c>
      <c r="Q13" s="6" t="s">
        <v>26</v>
      </c>
      <c r="R13" s="7" t="s">
        <v>51</v>
      </c>
      <c r="S13" s="8"/>
      <c r="T13" t="s">
        <v>28</v>
      </c>
    </row>
    <row r="14" spans="1:20" ht="37.950000000000003" customHeight="1">
      <c r="A14" s="9" t="s">
        <v>22</v>
      </c>
      <c r="B14" s="9" t="s">
        <v>52</v>
      </c>
      <c r="C14" s="7" t="s">
        <v>53</v>
      </c>
      <c r="D14" s="9" t="s">
        <v>38</v>
      </c>
      <c r="E14" s="2">
        <v>46311</v>
      </c>
      <c r="F14" s="2">
        <v>46312</v>
      </c>
      <c r="G14" s="3">
        <v>1.2</v>
      </c>
      <c r="H14" s="3">
        <v>1.2</v>
      </c>
      <c r="I14" s="3">
        <v>1.2</v>
      </c>
      <c r="J14" s="3">
        <f t="shared" si="0"/>
        <v>3.5999999999999996</v>
      </c>
      <c r="K14" s="4"/>
      <c r="L14" s="4"/>
      <c r="M14" s="5"/>
      <c r="N14" s="5"/>
      <c r="O14" s="5"/>
      <c r="P14" s="3" t="str">
        <f t="shared" si="1"/>
        <v/>
      </c>
      <c r="Q14" s="6" t="s">
        <v>26</v>
      </c>
      <c r="R14" s="7" t="s">
        <v>54</v>
      </c>
      <c r="S14" s="8"/>
      <c r="T14" t="s">
        <v>28</v>
      </c>
    </row>
    <row r="15" spans="1:20" ht="37.950000000000003" customHeight="1">
      <c r="A15" s="9" t="s">
        <v>22</v>
      </c>
      <c r="B15" s="9" t="s">
        <v>55</v>
      </c>
      <c r="C15" s="7" t="s">
        <v>56</v>
      </c>
      <c r="D15" s="9" t="s">
        <v>38</v>
      </c>
      <c r="E15" s="2">
        <v>46312</v>
      </c>
      <c r="F15" s="2">
        <v>46313</v>
      </c>
      <c r="G15" s="3">
        <v>0.2</v>
      </c>
      <c r="H15" s="3">
        <v>0.3</v>
      </c>
      <c r="I15" s="3">
        <v>2.2999999999999998</v>
      </c>
      <c r="J15" s="3">
        <f t="shared" si="0"/>
        <v>2.8</v>
      </c>
      <c r="K15" s="4"/>
      <c r="L15" s="4"/>
      <c r="M15" s="5"/>
      <c r="N15" s="5"/>
      <c r="O15" s="5"/>
      <c r="P15" s="3" t="str">
        <f t="shared" si="1"/>
        <v/>
      </c>
      <c r="Q15" s="6" t="s">
        <v>26</v>
      </c>
      <c r="R15" s="7" t="s">
        <v>57</v>
      </c>
      <c r="S15" s="8"/>
      <c r="T15" t="s">
        <v>28</v>
      </c>
    </row>
    <row r="16" spans="1:20" ht="37.950000000000003" customHeight="1">
      <c r="A16" s="9" t="s">
        <v>22</v>
      </c>
      <c r="B16" s="9" t="s">
        <v>58</v>
      </c>
      <c r="C16" s="7" t="s">
        <v>59</v>
      </c>
      <c r="D16" s="9" t="s">
        <v>34</v>
      </c>
      <c r="E16" s="2">
        <v>46313</v>
      </c>
      <c r="F16" s="2">
        <v>46313</v>
      </c>
      <c r="G16" s="3">
        <v>0.4</v>
      </c>
      <c r="H16" s="3">
        <v>0.9</v>
      </c>
      <c r="I16" s="3">
        <v>0.7</v>
      </c>
      <c r="J16" s="3">
        <f t="shared" si="0"/>
        <v>2</v>
      </c>
      <c r="K16" s="4"/>
      <c r="L16" s="4"/>
      <c r="M16" s="5"/>
      <c r="N16" s="5"/>
      <c r="O16" s="5"/>
      <c r="P16" s="3" t="str">
        <f t="shared" si="1"/>
        <v/>
      </c>
      <c r="Q16" s="6" t="s">
        <v>26</v>
      </c>
      <c r="R16" s="7" t="s">
        <v>60</v>
      </c>
      <c r="S16" s="8"/>
      <c r="T16" t="s">
        <v>28</v>
      </c>
    </row>
    <row r="17" spans="1:20" ht="37.950000000000003" customHeight="1">
      <c r="A17" s="9" t="s">
        <v>22</v>
      </c>
      <c r="B17" s="9" t="s">
        <v>61</v>
      </c>
      <c r="C17" s="7" t="s">
        <v>62</v>
      </c>
      <c r="D17" s="9" t="s">
        <v>25</v>
      </c>
      <c r="E17" s="2">
        <v>46313</v>
      </c>
      <c r="F17" s="2">
        <v>46313</v>
      </c>
      <c r="G17" s="3">
        <v>0.5</v>
      </c>
      <c r="H17" s="3">
        <v>0.5</v>
      </c>
      <c r="I17" s="3">
        <v>0.5</v>
      </c>
      <c r="J17" s="3">
        <f t="shared" si="0"/>
        <v>1.5</v>
      </c>
      <c r="K17" s="4"/>
      <c r="L17" s="4"/>
      <c r="M17" s="5"/>
      <c r="N17" s="5"/>
      <c r="O17" s="5"/>
      <c r="P17" s="3" t="str">
        <f t="shared" si="1"/>
        <v/>
      </c>
      <c r="Q17" s="6" t="s">
        <v>26</v>
      </c>
      <c r="R17" s="7" t="s">
        <v>63</v>
      </c>
      <c r="S17" s="8"/>
      <c r="T17" t="s">
        <v>28</v>
      </c>
    </row>
    <row r="18" spans="1:20" ht="37.950000000000003" customHeight="1">
      <c r="A18" s="9" t="s">
        <v>22</v>
      </c>
      <c r="B18" s="9" t="s">
        <v>64</v>
      </c>
      <c r="C18" s="7" t="s">
        <v>65</v>
      </c>
      <c r="D18" s="9" t="s">
        <v>25</v>
      </c>
      <c r="E18" s="2">
        <v>46313</v>
      </c>
      <c r="F18" s="2">
        <v>46314</v>
      </c>
      <c r="G18" s="3">
        <v>2.2000000000000002</v>
      </c>
      <c r="H18" s="3">
        <v>0.4</v>
      </c>
      <c r="I18" s="3">
        <v>0.3</v>
      </c>
      <c r="J18" s="3">
        <f t="shared" si="0"/>
        <v>2.9</v>
      </c>
      <c r="K18" s="4"/>
      <c r="L18" s="4"/>
      <c r="M18" s="5"/>
      <c r="N18" s="5"/>
      <c r="O18" s="5"/>
      <c r="P18" s="3" t="str">
        <f t="shared" si="1"/>
        <v/>
      </c>
      <c r="Q18" s="6" t="s">
        <v>26</v>
      </c>
      <c r="R18" s="7" t="s">
        <v>66</v>
      </c>
      <c r="S18" s="8"/>
      <c r="T18" t="s">
        <v>28</v>
      </c>
    </row>
    <row r="19" spans="1:20" ht="37.950000000000003" customHeight="1">
      <c r="A19" s="9" t="s">
        <v>22</v>
      </c>
      <c r="B19" s="9" t="s">
        <v>67</v>
      </c>
      <c r="C19" s="7" t="s">
        <v>68</v>
      </c>
      <c r="D19" s="9" t="s">
        <v>38</v>
      </c>
      <c r="E19" s="2">
        <v>46314</v>
      </c>
      <c r="F19" s="2">
        <v>46314</v>
      </c>
      <c r="G19" s="3">
        <v>0.4</v>
      </c>
      <c r="H19" s="3">
        <v>0.6</v>
      </c>
      <c r="I19" s="3">
        <v>1</v>
      </c>
      <c r="J19" s="3">
        <f t="shared" si="0"/>
        <v>2</v>
      </c>
      <c r="K19" s="4"/>
      <c r="L19" s="4"/>
      <c r="M19" s="5"/>
      <c r="N19" s="5"/>
      <c r="O19" s="5"/>
      <c r="P19" s="3" t="str">
        <f t="shared" si="1"/>
        <v/>
      </c>
      <c r="Q19" s="6" t="s">
        <v>26</v>
      </c>
      <c r="R19" s="7" t="s">
        <v>69</v>
      </c>
      <c r="S19" s="8"/>
      <c r="T19" t="s">
        <v>28</v>
      </c>
    </row>
    <row r="20" spans="1:20" ht="37.950000000000003" customHeight="1">
      <c r="A20" s="9" t="s">
        <v>22</v>
      </c>
      <c r="B20" s="9" t="s">
        <v>70</v>
      </c>
      <c r="C20" s="7" t="s">
        <v>71</v>
      </c>
      <c r="D20" s="9" t="s">
        <v>25</v>
      </c>
      <c r="E20" s="2">
        <v>46314</v>
      </c>
      <c r="F20" s="2">
        <v>46314</v>
      </c>
      <c r="G20" s="3">
        <v>0.4</v>
      </c>
      <c r="H20" s="3">
        <v>0</v>
      </c>
      <c r="I20" s="3">
        <v>0</v>
      </c>
      <c r="J20" s="3">
        <f t="shared" si="0"/>
        <v>0.4</v>
      </c>
      <c r="K20" s="4"/>
      <c r="L20" s="4"/>
      <c r="M20" s="5"/>
      <c r="N20" s="5"/>
      <c r="O20" s="5"/>
      <c r="P20" s="3" t="str">
        <f t="shared" si="1"/>
        <v/>
      </c>
      <c r="Q20" s="6" t="s">
        <v>26</v>
      </c>
      <c r="R20" s="7" t="s">
        <v>72</v>
      </c>
      <c r="S20" s="8"/>
      <c r="T20" t="s">
        <v>28</v>
      </c>
    </row>
  </sheetData>
  <mergeCells count="2">
    <mergeCell ref="A1:T1"/>
    <mergeCell ref="A3:T3"/>
  </mergeCells>
  <dataValidations count="1">
    <dataValidation type="list" sqref="Q6:Q20" xr:uid="{00000000-0002-0000-0000-000000000000}">
      <formula1>"План,В работе,Готово,Блокировано,Отменено"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5" topLeftCell="A6" activePane="bottomLeft" state="frozen"/>
      <selection pane="bottomLeft" sqref="A1:F1"/>
    </sheetView>
  </sheetViews>
  <sheetFormatPr defaultRowHeight="13.8"/>
  <cols>
    <col min="1" max="1" width="30" customWidth="1"/>
    <col min="2" max="4" width="18" customWidth="1"/>
    <col min="5" max="5" width="20" customWidth="1"/>
    <col min="6" max="6" width="35" customWidth="1"/>
  </cols>
  <sheetData>
    <row r="1" spans="1:6" ht="33" customHeight="1">
      <c r="A1" s="10" t="s">
        <v>73</v>
      </c>
      <c r="B1" s="10"/>
      <c r="C1" s="10"/>
      <c r="D1" s="10"/>
      <c r="E1" s="10"/>
      <c r="F1" s="10"/>
    </row>
    <row r="3" spans="1:6" ht="36" customHeight="1">
      <c r="A3" s="11" t="s">
        <v>74</v>
      </c>
      <c r="B3" s="11"/>
      <c r="C3" s="11"/>
      <c r="D3" s="11"/>
      <c r="E3" s="11"/>
      <c r="F3" s="11"/>
    </row>
    <row r="5" spans="1:6" ht="31.95" customHeight="1">
      <c r="A5" s="1" t="s">
        <v>75</v>
      </c>
      <c r="B5" s="1" t="s">
        <v>76</v>
      </c>
    </row>
    <row r="6" spans="1:6" ht="27" customHeight="1">
      <c r="A6" t="s">
        <v>77</v>
      </c>
      <c r="B6">
        <f>COUNTA('Журнал задач'!B6:B20)</f>
        <v>15</v>
      </c>
    </row>
    <row r="7" spans="1:6" ht="27" customHeight="1">
      <c r="A7" t="s">
        <v>11</v>
      </c>
      <c r="B7" s="3">
        <f>SUM('Журнал задач'!J6:J20)</f>
        <v>29.3</v>
      </c>
    </row>
    <row r="8" spans="1:6" ht="27" customHeight="1">
      <c r="A8" t="s">
        <v>17</v>
      </c>
      <c r="B8" s="3" t="str">
        <f>IF(COUNT('Журнал задач'!M6:O20)=0,"",SUM('Журнал задач'!M6:O20))</f>
        <v/>
      </c>
    </row>
    <row r="9" spans="1:6" ht="27" customHeight="1">
      <c r="A9" t="s">
        <v>78</v>
      </c>
      <c r="B9" s="3">
        <f>SUM('Журнал задач'!G6:G20)</f>
        <v>9.7000000000000028</v>
      </c>
    </row>
    <row r="10" spans="1:6" ht="27" customHeight="1">
      <c r="A10" t="s">
        <v>79</v>
      </c>
      <c r="B10" s="3">
        <f>SUM('Журнал задач'!H6:H20)</f>
        <v>9.6</v>
      </c>
    </row>
    <row r="11" spans="1:6" ht="27" customHeight="1">
      <c r="A11" t="s">
        <v>80</v>
      </c>
      <c r="B11" s="3">
        <f>SUM('Журнал задач'!I6:I20)</f>
        <v>10</v>
      </c>
    </row>
    <row r="12" spans="1:6" ht="27" customHeight="1">
      <c r="A12" t="s">
        <v>81</v>
      </c>
      <c r="B12">
        <f>COUNTIF('Журнал задач'!Q6:Q20,"Готово")</f>
        <v>0</v>
      </c>
    </row>
    <row r="13" spans="1:6" ht="27" customHeight="1">
      <c r="A13" t="s">
        <v>82</v>
      </c>
      <c r="B13">
        <f>COUNTIF('Журнал задач'!Q6:Q20,"План")</f>
        <v>15</v>
      </c>
    </row>
    <row r="16" spans="1:6">
      <c r="A16" t="s">
        <v>83</v>
      </c>
    </row>
    <row r="17" spans="1:6" ht="36" customHeight="1">
      <c r="A17" s="11" t="s">
        <v>84</v>
      </c>
      <c r="B17" s="11"/>
      <c r="C17" s="11"/>
      <c r="D17" s="11"/>
      <c r="E17" s="11"/>
      <c r="F17" s="11"/>
    </row>
  </sheetData>
  <mergeCells count="3">
    <mergeCell ref="A1:F1"/>
    <mergeCell ref="A3:F3"/>
    <mergeCell ref="A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sqref="A1:E1"/>
    </sheetView>
  </sheetViews>
  <sheetFormatPr defaultRowHeight="13.8"/>
  <cols>
    <col min="1" max="1" width="25" customWidth="1"/>
    <col min="2" max="2" width="108" customWidth="1"/>
    <col min="3" max="5" width="12" customWidth="1"/>
  </cols>
  <sheetData>
    <row r="1" spans="1:5" ht="26.4" customHeight="1">
      <c r="A1" s="10" t="s">
        <v>85</v>
      </c>
      <c r="B1" s="10"/>
      <c r="C1" s="10"/>
      <c r="D1" s="10"/>
      <c r="E1" s="10"/>
    </row>
    <row r="3" spans="1:5" ht="28.8" customHeight="1">
      <c r="A3" s="11" t="s">
        <v>86</v>
      </c>
      <c r="B3" s="11"/>
      <c r="C3" s="11"/>
      <c r="D3" s="11"/>
      <c r="E3" s="11"/>
    </row>
    <row r="5" spans="1:5" ht="25.65" customHeight="1">
      <c r="A5" s="1" t="s">
        <v>87</v>
      </c>
      <c r="B5" s="1" t="s">
        <v>88</v>
      </c>
    </row>
    <row r="6" spans="1:5" ht="40.799999999999997" customHeight="1">
      <c r="A6" s="7" t="s">
        <v>89</v>
      </c>
      <c r="B6" s="7" t="s">
        <v>90</v>
      </c>
    </row>
    <row r="7" spans="1:5" ht="40.799999999999997" customHeight="1">
      <c r="A7" s="7" t="s">
        <v>91</v>
      </c>
      <c r="B7" s="7" t="s">
        <v>92</v>
      </c>
    </row>
    <row r="8" spans="1:5" ht="40.799999999999997" customHeight="1">
      <c r="A8" s="7" t="s">
        <v>93</v>
      </c>
      <c r="B8" s="7" t="s">
        <v>94</v>
      </c>
    </row>
    <row r="9" spans="1:5" ht="40.799999999999997" customHeight="1">
      <c r="A9" s="7" t="s">
        <v>95</v>
      </c>
      <c r="B9" s="7" t="s">
        <v>96</v>
      </c>
    </row>
    <row r="10" spans="1:5" ht="40.799999999999997" customHeight="1">
      <c r="A10" s="7" t="s">
        <v>97</v>
      </c>
      <c r="B10" s="7" t="s">
        <v>98</v>
      </c>
    </row>
    <row r="11" spans="1:5" ht="40.799999999999997" customHeight="1">
      <c r="A11" s="7" t="s">
        <v>99</v>
      </c>
      <c r="B11" s="7" t="s">
        <v>100</v>
      </c>
    </row>
    <row r="12" spans="1:5" ht="40.799999999999997" customHeight="1">
      <c r="A12" s="7" t="s">
        <v>101</v>
      </c>
      <c r="B12" s="7" t="s">
        <v>102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4" topLeftCell="A5" activePane="bottomLeft" state="frozen"/>
      <selection pane="bottomLeft" sqref="A1:F1"/>
    </sheetView>
  </sheetViews>
  <sheetFormatPr defaultRowHeight="13.8"/>
  <cols>
    <col min="1" max="1" width="16" customWidth="1"/>
    <col min="2" max="2" width="22" customWidth="1"/>
    <col min="3" max="3" width="12" customWidth="1"/>
    <col min="4" max="4" width="75" customWidth="1"/>
    <col min="5" max="5" width="28" customWidth="1"/>
    <col min="6" max="6" width="30" customWidth="1"/>
  </cols>
  <sheetData>
    <row r="1" spans="1:6" ht="33" customHeight="1">
      <c r="A1" s="10" t="s">
        <v>103</v>
      </c>
      <c r="B1" s="10"/>
      <c r="C1" s="10"/>
      <c r="D1" s="10"/>
      <c r="E1" s="10"/>
      <c r="F1" s="10"/>
    </row>
    <row r="4" spans="1:6" ht="31.95" customHeight="1">
      <c r="A4" s="1" t="s">
        <v>104</v>
      </c>
      <c r="B4" s="1" t="s">
        <v>21</v>
      </c>
      <c r="C4" s="1" t="s">
        <v>2</v>
      </c>
      <c r="D4" s="1" t="s">
        <v>105</v>
      </c>
      <c r="E4" s="1" t="s">
        <v>106</v>
      </c>
      <c r="F4" s="1" t="s">
        <v>18</v>
      </c>
    </row>
    <row r="5" spans="1:6" ht="43.05" customHeight="1">
      <c r="A5" s="2">
        <v>46308</v>
      </c>
      <c r="B5" t="s">
        <v>107</v>
      </c>
      <c r="C5" t="s">
        <v>22</v>
      </c>
      <c r="D5" s="7" t="s">
        <v>108</v>
      </c>
      <c r="E5" s="7" t="s">
        <v>109</v>
      </c>
      <c r="F5" s="7" t="s">
        <v>110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Журнал задач</vt:lpstr>
      <vt:lpstr>Сводка</vt:lpstr>
      <vt:lpstr>Правила учёта</vt:lpstr>
      <vt:lpstr>История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Khitrov</cp:lastModifiedBy>
  <dcterms:modified xsi:type="dcterms:W3CDTF">2026-10-27T17:23:15Z</dcterms:modified>
</cp:coreProperties>
</file>