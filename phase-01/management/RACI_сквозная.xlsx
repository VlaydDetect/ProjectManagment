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orks\VSU\ProjectManagment\phase-01\management\"/>
    </mc:Choice>
  </mc:AlternateContent>
  <xr:revisionPtr revIDLastSave="0" documentId="13_ncr:1_{F6E60D45-95AD-4231-9D29-28F162DFEE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CI" sheetId="1" r:id="rId1"/>
    <sheet name="Регламент" sheetId="2" r:id="rId2"/>
    <sheet name="История изменени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2" i="1" s="1"/>
</calcChain>
</file>

<file path=xl/sharedStrings.xml><?xml version="1.0" encoding="utf-8"?>
<sst xmlns="http://schemas.openxmlformats.org/spreadsheetml/2006/main" count="158" uniqueCount="97">
  <si>
    <t>Единая матрица ответственности · все фазы</t>
  </si>
  <si>
    <t>Основной сквозной документ. После каждой фазы добавляйте новые строки и обновляйте версию. Пока У1–У3 — временные обозначения.</t>
  </si>
  <si>
    <t>Фаза</t>
  </si>
  <si>
    <t>ID</t>
  </si>
  <si>
    <t>Работа</t>
  </si>
  <si>
    <t>Участник 1</t>
  </si>
  <si>
    <t>Участник 2</t>
  </si>
  <si>
    <t>Участник 3</t>
  </si>
  <si>
    <t>Контроль A</t>
  </si>
  <si>
    <t>Обоснование распределения</t>
  </si>
  <si>
    <t>1</t>
  </si>
  <si>
    <t>T01</t>
  </si>
  <si>
    <t>Установочная встреча, правила и роли</t>
  </si>
  <si>
    <t>A/R</t>
  </si>
  <si>
    <t>R</t>
  </si>
  <si>
    <t>Координатор У1 ведёт протокол, все участвуют</t>
  </si>
  <si>
    <t>T02</t>
  </si>
  <si>
    <t>Концепция и 12 UC StudyFlow</t>
  </si>
  <si>
    <t>I</t>
  </si>
  <si>
    <t>У1 — контент и декомпозиция</t>
  </si>
  <si>
    <t>T03</t>
  </si>
  <si>
    <t>Концепция и 12 UC CampusEvents</t>
  </si>
  <si>
    <t>У2 — альтернатива и предметные сценарии</t>
  </si>
  <si>
    <t>T04</t>
  </si>
  <si>
    <t>Концепция и 12 UC BookSwap</t>
  </si>
  <si>
    <t>C</t>
  </si>
  <si>
    <t>У3 — владелец концепции, У1 проверяет</t>
  </si>
  <si>
    <t>T05</t>
  </si>
  <si>
    <t>Концепция и 12 UC SkillBridge</t>
  </si>
  <si>
    <t>У3 — владелец концепции, У2 проверяет</t>
  </si>
  <si>
    <t>T06</t>
  </si>
  <si>
    <t>Критерии, шкала и формулировки</t>
  </si>
  <si>
    <t>У1 унифицирует критерии, У2 и У3 проверяют</t>
  </si>
  <si>
    <t>T07</t>
  </si>
  <si>
    <t>Независимые балльные оценки (TOPSIS)</t>
  </si>
  <si>
    <t>Каждый выставляет оценки самостоятельно</t>
  </si>
  <si>
    <t>T08</t>
  </si>
  <si>
    <t>Расчёт коллективного нечёткого TOPSIS</t>
  </si>
  <si>
    <t>У2 ведёт численный TOPSIS</t>
  </si>
  <si>
    <t>T09</t>
  </si>
  <si>
    <t>Независимые попарные сравнения МАИ</t>
  </si>
  <si>
    <t>Каждый заполняет парные сравнения; У3 собирает</t>
  </si>
  <si>
    <t>T10</t>
  </si>
  <si>
    <t>Агрегация МАИ и проверка CR</t>
  </si>
  <si>
    <t>У3 рассчитывает и проверяет МАИ</t>
  </si>
  <si>
    <t>T11</t>
  </si>
  <si>
    <t>Сопоставление и анализ чувствительности</t>
  </si>
  <si>
    <t>У2 сравнивает результаты, У3 выполняет часть анализа</t>
  </si>
  <si>
    <t>T12</t>
  </si>
  <si>
    <t>Общая встреча и решение команды</t>
  </si>
  <si>
    <t>Все принимают решение, У1 протоколирует</t>
  </si>
  <si>
    <t>T13</t>
  </si>
  <si>
    <t>Сборка отчёта и актуализация RACI</t>
  </si>
  <si>
    <t>У1 владелец финального отчёта и RACI</t>
  </si>
  <si>
    <t>T14</t>
  </si>
  <si>
    <t>Взаимная проверка методики и результатов</t>
  </si>
  <si>
    <t>У3 осуществляет независимую проверку</t>
  </si>
  <si>
    <t>T15</t>
  </si>
  <si>
    <t>Публикация материалов в общей папке</t>
  </si>
  <si>
    <t>У1 публикует единую версию артефактов</t>
  </si>
  <si>
    <t>Ошибок в распределении A:</t>
  </si>
  <si>
    <t>Регламент ведения RACI</t>
  </si>
  <si>
    <t>Единственный актуальный источник ответственности — лист RACI этой книги. Лист RACI в расчётной книге — снимок фазы 1.</t>
  </si>
  <si>
    <t>Обозначение</t>
  </si>
  <si>
    <t>Роль</t>
  </si>
  <si>
    <t>Значение</t>
  </si>
  <si>
    <t>Правило</t>
  </si>
  <si>
    <t>A</t>
  </si>
  <si>
    <t>Accountable</t>
  </si>
  <si>
    <t>Единолично отвечает за конечный результат / принимает задачу</t>
  </si>
  <si>
    <t>Ровно одна A на задачу.</t>
  </si>
  <si>
    <t>Responsible</t>
  </si>
  <si>
    <t>Непосредственно выполняет работу</t>
  </si>
  <si>
    <t>Может быть у нескольких участников.</t>
  </si>
  <si>
    <t>Consulted</t>
  </si>
  <si>
    <t>Консультируется до решения, предоставляет экспертизу</t>
  </si>
  <si>
    <t>Коммуникация двусторонняя.</t>
  </si>
  <si>
    <t>Informed</t>
  </si>
  <si>
    <t>Получает информацию о ходе/итоге</t>
  </si>
  <si>
    <t>Не обязан выполнять задачу.</t>
  </si>
  <si>
    <t>Две роли</t>
  </si>
  <si>
    <t>И выполняет, и отвечает за результат</t>
  </si>
  <si>
    <t>Разрешено для компактной команды.</t>
  </si>
  <si>
    <t>Правило версии</t>
  </si>
  <si>
    <t>После фазы 1 добавить задачи фазы 2 ниже, не создавать новую RACI.</t>
  </si>
  <si>
    <t>Изменения фиксировать на листе «История изменений».</t>
  </si>
  <si>
    <t>Имена У1–У3 заменить после согласования команды.</t>
  </si>
  <si>
    <t>История изменений матрицы</t>
  </si>
  <si>
    <t>Дата</t>
  </si>
  <si>
    <t>Версия</t>
  </si>
  <si>
    <t>Изменение</t>
  </si>
  <si>
    <t>Ответственный</t>
  </si>
  <si>
    <t>Согласование</t>
  </si>
  <si>
    <t>v1.0 (черновик)</t>
  </si>
  <si>
    <t>Перенесены T01–T15 из исходной книги; запись не подтверждает согласование команды.</t>
  </si>
  <si>
    <t>Участник 1 (план)</t>
  </si>
  <si>
    <t>Ожидается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</si>
</sst>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>
    <font>
      <sz val="11"/>
      <name val="Carlito"/>
    </font>
    <font>
      <b/>
      <sz val="15"/>
      <color rgb="FFFFFFFF"/>
      <name val="Carlito"/>
    </font>
    <font>
      <sz val="10"/>
      <color rgb="FF15304B"/>
      <name val="Carlito"/>
    </font>
    <font>
      <b/>
      <sz val="10"/>
      <color rgb="FFFFFFFF"/>
      <name val="Carlito"/>
    </font>
    <font>
      <b/>
      <sz val="11"/>
      <color rgb="FF1D4ED8"/>
      <name val="Carlito"/>
    </font>
    <font>
      <b/>
      <sz val="11"/>
      <color rgb="FF196E5D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304B"/>
      </patternFill>
    </fill>
    <fill>
      <patternFill patternType="solid">
        <fgColor rgb="FFEAF2F8"/>
      </patternFill>
    </fill>
    <fill>
      <patternFill patternType="solid">
        <fgColor rgb="FFE5F1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3" fillId="2" borderId="0" xfId="1" applyFont="1" applyFill="1" applyAlignment="1">
      <alignment vertical="center" wrapText="1"/>
    </xf>
    <xf numFmtId="0" fontId="4" fillId="4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0" fillId="0" borderId="0" xfId="1" applyFont="1" applyAlignment="1">
      <alignment wrapText="1"/>
    </xf>
    <xf numFmtId="164" fontId="0" fillId="0" borderId="0" xfId="1" applyNumberFormat="1" applyFont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5" topLeftCell="A6" activePane="bottomLeft" state="frozen"/>
      <selection pane="bottomLeft" sqref="A1:H1"/>
    </sheetView>
  </sheetViews>
  <sheetFormatPr defaultRowHeight="13.8"/>
  <cols>
    <col min="1" max="2" width="10" customWidth="1"/>
    <col min="3" max="3" width="48" customWidth="1"/>
    <col min="4" max="6" width="16" customWidth="1"/>
    <col min="7" max="7" width="17" customWidth="1"/>
    <col min="8" max="8" width="54" customWidth="1"/>
  </cols>
  <sheetData>
    <row r="1" spans="1:8" ht="33" customHeight="1">
      <c r="A1" s="7" t="s">
        <v>0</v>
      </c>
      <c r="B1" s="7"/>
      <c r="C1" s="7"/>
      <c r="D1" s="7"/>
      <c r="E1" s="7"/>
      <c r="F1" s="7"/>
      <c r="G1" s="7"/>
      <c r="H1" s="7"/>
    </row>
    <row r="3" spans="1:8" ht="36" customHeight="1">
      <c r="A3" s="8" t="s">
        <v>1</v>
      </c>
      <c r="B3" s="8"/>
      <c r="C3" s="8"/>
      <c r="D3" s="8"/>
      <c r="E3" s="8"/>
      <c r="F3" s="8"/>
      <c r="G3" s="8"/>
      <c r="H3" s="8"/>
    </row>
    <row r="5" spans="1:8" ht="31.9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37.049999999999997" customHeight="1">
      <c r="A6" s="3" t="s">
        <v>10</v>
      </c>
      <c r="B6" s="3" t="s">
        <v>11</v>
      </c>
      <c r="C6" s="5" t="s">
        <v>12</v>
      </c>
      <c r="D6" s="2" t="s">
        <v>13</v>
      </c>
      <c r="E6" s="2" t="s">
        <v>14</v>
      </c>
      <c r="F6" s="2" t="s">
        <v>14</v>
      </c>
      <c r="G6" s="4" t="str">
        <f t="shared" ref="G6:G20" si="0">IF(COUNTIF(D6:F6,"A/R")+COUNTIF(D6:F6,"A")=1,"OK","ПРОВЕРИТЬ")</f>
        <v>OK</v>
      </c>
      <c r="H6" s="5" t="s">
        <v>15</v>
      </c>
    </row>
    <row r="7" spans="1:8" ht="37.049999999999997" customHeight="1">
      <c r="A7" s="3" t="s">
        <v>10</v>
      </c>
      <c r="B7" s="3" t="s">
        <v>16</v>
      </c>
      <c r="C7" s="5" t="s">
        <v>17</v>
      </c>
      <c r="D7" s="2" t="s">
        <v>13</v>
      </c>
      <c r="E7" s="2" t="s">
        <v>18</v>
      </c>
      <c r="F7" s="2" t="s">
        <v>18</v>
      </c>
      <c r="G7" s="4" t="str">
        <f t="shared" si="0"/>
        <v>OK</v>
      </c>
      <c r="H7" s="5" t="s">
        <v>19</v>
      </c>
    </row>
    <row r="8" spans="1:8" ht="37.049999999999997" customHeight="1">
      <c r="A8" s="3" t="s">
        <v>10</v>
      </c>
      <c r="B8" s="3" t="s">
        <v>20</v>
      </c>
      <c r="C8" s="5" t="s">
        <v>21</v>
      </c>
      <c r="D8" s="2" t="s">
        <v>18</v>
      </c>
      <c r="E8" s="2" t="s">
        <v>13</v>
      </c>
      <c r="F8" s="2" t="s">
        <v>18</v>
      </c>
      <c r="G8" s="4" t="str">
        <f t="shared" si="0"/>
        <v>OK</v>
      </c>
      <c r="H8" s="5" t="s">
        <v>22</v>
      </c>
    </row>
    <row r="9" spans="1:8" ht="37.049999999999997" customHeight="1">
      <c r="A9" s="3" t="s">
        <v>10</v>
      </c>
      <c r="B9" s="3" t="s">
        <v>23</v>
      </c>
      <c r="C9" s="5" t="s">
        <v>24</v>
      </c>
      <c r="D9" s="2" t="s">
        <v>25</v>
      </c>
      <c r="E9" s="2" t="s">
        <v>18</v>
      </c>
      <c r="F9" s="2" t="s">
        <v>13</v>
      </c>
      <c r="G9" s="4" t="str">
        <f t="shared" si="0"/>
        <v>OK</v>
      </c>
      <c r="H9" s="5" t="s">
        <v>26</v>
      </c>
    </row>
    <row r="10" spans="1:8" ht="37.049999999999997" customHeight="1">
      <c r="A10" s="3" t="s">
        <v>10</v>
      </c>
      <c r="B10" s="3" t="s">
        <v>27</v>
      </c>
      <c r="C10" s="5" t="s">
        <v>28</v>
      </c>
      <c r="D10" s="2" t="s">
        <v>18</v>
      </c>
      <c r="E10" s="2" t="s">
        <v>25</v>
      </c>
      <c r="F10" s="2" t="s">
        <v>13</v>
      </c>
      <c r="G10" s="4" t="str">
        <f t="shared" si="0"/>
        <v>OK</v>
      </c>
      <c r="H10" s="5" t="s">
        <v>29</v>
      </c>
    </row>
    <row r="11" spans="1:8" ht="37.049999999999997" customHeight="1">
      <c r="A11" s="3" t="s">
        <v>10</v>
      </c>
      <c r="B11" s="3" t="s">
        <v>30</v>
      </c>
      <c r="C11" s="5" t="s">
        <v>31</v>
      </c>
      <c r="D11" s="2" t="s">
        <v>13</v>
      </c>
      <c r="E11" s="2" t="s">
        <v>25</v>
      </c>
      <c r="F11" s="2" t="s">
        <v>25</v>
      </c>
      <c r="G11" s="4" t="str">
        <f t="shared" si="0"/>
        <v>OK</v>
      </c>
      <c r="H11" s="5" t="s">
        <v>32</v>
      </c>
    </row>
    <row r="12" spans="1:8" ht="37.049999999999997" customHeight="1">
      <c r="A12" s="3" t="s">
        <v>10</v>
      </c>
      <c r="B12" s="3" t="s">
        <v>33</v>
      </c>
      <c r="C12" s="5" t="s">
        <v>34</v>
      </c>
      <c r="D12" s="2" t="s">
        <v>14</v>
      </c>
      <c r="E12" s="2" t="s">
        <v>13</v>
      </c>
      <c r="F12" s="2" t="s">
        <v>14</v>
      </c>
      <c r="G12" s="4" t="str">
        <f t="shared" si="0"/>
        <v>OK</v>
      </c>
      <c r="H12" s="5" t="s">
        <v>35</v>
      </c>
    </row>
    <row r="13" spans="1:8" ht="37.049999999999997" customHeight="1">
      <c r="A13" s="3" t="s">
        <v>10</v>
      </c>
      <c r="B13" s="3" t="s">
        <v>36</v>
      </c>
      <c r="C13" s="5" t="s">
        <v>37</v>
      </c>
      <c r="D13" s="2" t="s">
        <v>25</v>
      </c>
      <c r="E13" s="2" t="s">
        <v>13</v>
      </c>
      <c r="F13" s="2" t="s">
        <v>25</v>
      </c>
      <c r="G13" s="4" t="str">
        <f t="shared" si="0"/>
        <v>OK</v>
      </c>
      <c r="H13" s="5" t="s">
        <v>38</v>
      </c>
    </row>
    <row r="14" spans="1:8" ht="37.049999999999997" customHeight="1">
      <c r="A14" s="3" t="s">
        <v>10</v>
      </c>
      <c r="B14" s="3" t="s">
        <v>39</v>
      </c>
      <c r="C14" s="5" t="s">
        <v>40</v>
      </c>
      <c r="D14" s="2" t="s">
        <v>14</v>
      </c>
      <c r="E14" s="2" t="s">
        <v>14</v>
      </c>
      <c r="F14" s="2" t="s">
        <v>13</v>
      </c>
      <c r="G14" s="4" t="str">
        <f t="shared" si="0"/>
        <v>OK</v>
      </c>
      <c r="H14" s="5" t="s">
        <v>41</v>
      </c>
    </row>
    <row r="15" spans="1:8" ht="37.049999999999997" customHeight="1">
      <c r="A15" s="3" t="s">
        <v>10</v>
      </c>
      <c r="B15" s="3" t="s">
        <v>42</v>
      </c>
      <c r="C15" s="5" t="s">
        <v>43</v>
      </c>
      <c r="D15" s="2" t="s">
        <v>25</v>
      </c>
      <c r="E15" s="2" t="s">
        <v>25</v>
      </c>
      <c r="F15" s="2" t="s">
        <v>13</v>
      </c>
      <c r="G15" s="4" t="str">
        <f t="shared" si="0"/>
        <v>OK</v>
      </c>
      <c r="H15" s="5" t="s">
        <v>44</v>
      </c>
    </row>
    <row r="16" spans="1:8" ht="37.049999999999997" customHeight="1">
      <c r="A16" s="3" t="s">
        <v>10</v>
      </c>
      <c r="B16" s="3" t="s">
        <v>45</v>
      </c>
      <c r="C16" s="5" t="s">
        <v>46</v>
      </c>
      <c r="D16" s="2" t="s">
        <v>25</v>
      </c>
      <c r="E16" s="2" t="s">
        <v>13</v>
      </c>
      <c r="F16" s="2" t="s">
        <v>14</v>
      </c>
      <c r="G16" s="4" t="str">
        <f t="shared" si="0"/>
        <v>OK</v>
      </c>
      <c r="H16" s="5" t="s">
        <v>47</v>
      </c>
    </row>
    <row r="17" spans="1:8" ht="37.049999999999997" customHeight="1">
      <c r="A17" s="3" t="s">
        <v>10</v>
      </c>
      <c r="B17" s="3" t="s">
        <v>48</v>
      </c>
      <c r="C17" s="5" t="s">
        <v>49</v>
      </c>
      <c r="D17" s="2" t="s">
        <v>13</v>
      </c>
      <c r="E17" s="2" t="s">
        <v>14</v>
      </c>
      <c r="F17" s="2" t="s">
        <v>14</v>
      </c>
      <c r="G17" s="4" t="str">
        <f t="shared" si="0"/>
        <v>OK</v>
      </c>
      <c r="H17" s="5" t="s">
        <v>50</v>
      </c>
    </row>
    <row r="18" spans="1:8" ht="37.049999999999997" customHeight="1">
      <c r="A18" s="3" t="s">
        <v>10</v>
      </c>
      <c r="B18" s="3" t="s">
        <v>51</v>
      </c>
      <c r="C18" s="5" t="s">
        <v>52</v>
      </c>
      <c r="D18" s="2" t="s">
        <v>13</v>
      </c>
      <c r="E18" s="2" t="s">
        <v>25</v>
      </c>
      <c r="F18" s="2" t="s">
        <v>25</v>
      </c>
      <c r="G18" s="4" t="str">
        <f t="shared" si="0"/>
        <v>OK</v>
      </c>
      <c r="H18" s="5" t="s">
        <v>53</v>
      </c>
    </row>
    <row r="19" spans="1:8" ht="37.049999999999997" customHeight="1">
      <c r="A19" s="3" t="s">
        <v>10</v>
      </c>
      <c r="B19" s="3" t="s">
        <v>54</v>
      </c>
      <c r="C19" s="5" t="s">
        <v>55</v>
      </c>
      <c r="D19" s="2" t="s">
        <v>25</v>
      </c>
      <c r="E19" s="2" t="s">
        <v>14</v>
      </c>
      <c r="F19" s="2" t="s">
        <v>13</v>
      </c>
      <c r="G19" s="4" t="str">
        <f t="shared" si="0"/>
        <v>OK</v>
      </c>
      <c r="H19" s="5" t="s">
        <v>56</v>
      </c>
    </row>
    <row r="20" spans="1:8" ht="37.049999999999997" customHeight="1">
      <c r="A20" s="3" t="s">
        <v>10</v>
      </c>
      <c r="B20" s="3" t="s">
        <v>57</v>
      </c>
      <c r="C20" s="5" t="s">
        <v>58</v>
      </c>
      <c r="D20" s="2" t="s">
        <v>13</v>
      </c>
      <c r="E20" s="2" t="s">
        <v>18</v>
      </c>
      <c r="F20" s="2" t="s">
        <v>18</v>
      </c>
      <c r="G20" s="4" t="str">
        <f t="shared" si="0"/>
        <v>OK</v>
      </c>
      <c r="H20" s="5" t="s">
        <v>59</v>
      </c>
    </row>
    <row r="22" spans="1:8">
      <c r="F22" t="s">
        <v>60</v>
      </c>
      <c r="G22">
        <f>COUNTIF(G6:G20,"ПРОВЕРИТЬ")</f>
        <v>0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defaultRowHeight="13.8"/>
  <cols>
    <col min="1" max="1" width="18" customWidth="1"/>
    <col min="2" max="2" width="25" customWidth="1"/>
    <col min="3" max="3" width="55" customWidth="1"/>
    <col min="4" max="4" width="52" customWidth="1"/>
  </cols>
  <sheetData>
    <row r="1" spans="1:4" ht="26.4" customHeight="1">
      <c r="A1" s="7" t="s">
        <v>61</v>
      </c>
      <c r="B1" s="7"/>
      <c r="C1" s="7"/>
      <c r="D1" s="7"/>
    </row>
    <row r="3" spans="1:4" ht="28.8" customHeight="1">
      <c r="A3" s="8" t="s">
        <v>62</v>
      </c>
      <c r="B3" s="8"/>
      <c r="C3" s="8"/>
      <c r="D3" s="8"/>
    </row>
    <row r="5" spans="1:4" ht="25.65" customHeight="1">
      <c r="A5" s="1" t="s">
        <v>63</v>
      </c>
      <c r="B5" s="1" t="s">
        <v>64</v>
      </c>
      <c r="C5" s="1" t="s">
        <v>65</v>
      </c>
      <c r="D5" s="1" t="s">
        <v>66</v>
      </c>
    </row>
    <row r="6" spans="1:4" ht="37.65" customHeight="1">
      <c r="A6" s="5" t="s">
        <v>67</v>
      </c>
      <c r="B6" s="5" t="s">
        <v>68</v>
      </c>
      <c r="C6" s="5" t="s">
        <v>69</v>
      </c>
      <c r="D6" s="5" t="s">
        <v>70</v>
      </c>
    </row>
    <row r="7" spans="1:4" ht="37.65" customHeight="1">
      <c r="A7" s="5" t="s">
        <v>14</v>
      </c>
      <c r="B7" s="5" t="s">
        <v>71</v>
      </c>
      <c r="C7" s="5" t="s">
        <v>72</v>
      </c>
      <c r="D7" s="5" t="s">
        <v>73</v>
      </c>
    </row>
    <row r="8" spans="1:4" ht="37.65" customHeight="1">
      <c r="A8" s="5" t="s">
        <v>25</v>
      </c>
      <c r="B8" s="5" t="s">
        <v>74</v>
      </c>
      <c r="C8" s="5" t="s">
        <v>75</v>
      </c>
      <c r="D8" s="5" t="s">
        <v>76</v>
      </c>
    </row>
    <row r="9" spans="1:4" ht="37.65" customHeight="1">
      <c r="A9" s="5" t="s">
        <v>18</v>
      </c>
      <c r="B9" s="5" t="s">
        <v>77</v>
      </c>
      <c r="C9" s="5" t="s">
        <v>78</v>
      </c>
      <c r="D9" s="5" t="s">
        <v>79</v>
      </c>
    </row>
    <row r="10" spans="1:4" ht="37.65" customHeight="1">
      <c r="A10" s="5" t="s">
        <v>13</v>
      </c>
      <c r="B10" s="5" t="s">
        <v>80</v>
      </c>
      <c r="C10" s="5" t="s">
        <v>81</v>
      </c>
      <c r="D10" s="5" t="s">
        <v>82</v>
      </c>
    </row>
    <row r="11" spans="1:4" ht="37.65" customHeight="1">
      <c r="A11" s="5"/>
      <c r="B11" s="5"/>
      <c r="C11" s="5"/>
      <c r="D11" s="5"/>
    </row>
    <row r="12" spans="1:4" ht="56.4" customHeight="1">
      <c r="A12" s="5" t="s">
        <v>83</v>
      </c>
      <c r="B12" s="5" t="s">
        <v>84</v>
      </c>
      <c r="C12" s="5" t="s">
        <v>85</v>
      </c>
      <c r="D12" s="5" t="s">
        <v>86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pane ySplit="4" topLeftCell="A5" activePane="bottomLeft" state="frozen"/>
      <selection pane="bottomLeft" sqref="A1:F1"/>
    </sheetView>
  </sheetViews>
  <sheetFormatPr defaultRowHeight="13.8"/>
  <cols>
    <col min="1" max="1" width="17" customWidth="1"/>
    <col min="2" max="2" width="20" customWidth="1"/>
    <col min="3" max="3" width="10" customWidth="1"/>
    <col min="4" max="4" width="67" customWidth="1"/>
    <col min="5" max="5" width="29" customWidth="1"/>
    <col min="6" max="6" width="22" customWidth="1"/>
  </cols>
  <sheetData>
    <row r="1" spans="1:6" ht="33" customHeight="1">
      <c r="A1" s="7" t="s">
        <v>87</v>
      </c>
      <c r="B1" s="7"/>
      <c r="C1" s="7"/>
      <c r="D1" s="7"/>
      <c r="E1" s="7"/>
      <c r="F1" s="7"/>
    </row>
    <row r="4" spans="1:6" ht="31.95" customHeight="1">
      <c r="A4" s="1" t="s">
        <v>88</v>
      </c>
      <c r="B4" s="1" t="s">
        <v>89</v>
      </c>
      <c r="C4" s="1" t="s">
        <v>2</v>
      </c>
      <c r="D4" s="1" t="s">
        <v>90</v>
      </c>
      <c r="E4" s="1" t="s">
        <v>91</v>
      </c>
      <c r="F4" s="1" t="s">
        <v>92</v>
      </c>
    </row>
    <row r="5" spans="1:6" ht="43.95" customHeight="1">
      <c r="A5" s="6">
        <v>46308</v>
      </c>
      <c r="B5" t="s">
        <v>93</v>
      </c>
      <c r="C5" t="s">
        <v>10</v>
      </c>
      <c r="D5" s="5" t="s">
        <v>94</v>
      </c>
      <c r="E5" s="5" t="s">
        <v>95</v>
      </c>
      <c r="F5" s="5" t="s">
        <v>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RACI</vt:lpstr>
      <vt:lpstr>Регламент</vt:lpstr>
      <vt:lpstr>История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2026-10-27T17:23:11Z</dcterms:modified>
</cp:coreProperties>
</file>